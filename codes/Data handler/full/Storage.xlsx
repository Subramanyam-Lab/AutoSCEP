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taehyeonkwon/Downloads/europe_v50_mod/"/>
    </mc:Choice>
  </mc:AlternateContent>
  <xr:revisionPtr revIDLastSave="0" documentId="13_ncr:1_{195B6362-E086-D840-BD68-DAFBE5DE5724}" xr6:coauthVersionLast="47" xr6:coauthVersionMax="47" xr10:uidLastSave="{00000000-0000-0000-0000-000000000000}"/>
  <bookViews>
    <workbookView xWindow="17100" yWindow="780" windowWidth="17100" windowHeight="21360" tabRatio="944" firstSheet="11" activeTab="15" xr2:uid="{00000000-000D-0000-FFFF-FFFF00000000}"/>
  </bookViews>
  <sheets>
    <sheet name="InitialPowerCapacity" sheetId="6" r:id="rId1"/>
    <sheet name="PowerCapitalCost" sheetId="17" r:id="rId2"/>
    <sheet name="PowerFixedOMCost" sheetId="18" r:id="rId3"/>
    <sheet name="PowerMaxBuiltCapacity" sheetId="8" r:id="rId4"/>
    <sheet name="PowerMaxInstalledCapacity" sheetId="10" r:id="rId5"/>
    <sheet name="EnergyCapitalCost" sheetId="19" r:id="rId6"/>
    <sheet name="EnergyFixedOMCost" sheetId="20" r:id="rId7"/>
    <sheet name="EnergyInitialCapacity" sheetId="5" r:id="rId8"/>
    <sheet name="EnergyMaxBuiltCapacity" sheetId="7" r:id="rId9"/>
    <sheet name="EnergyMaxInstalledCapacity" sheetId="9" r:id="rId10"/>
    <sheet name="StorageInitialEnergyLevel" sheetId="12" r:id="rId11"/>
    <sheet name="StorageChargeEff" sheetId="14" r:id="rId12"/>
    <sheet name="StorageDischargeEff" sheetId="15" r:id="rId13"/>
    <sheet name="StoragePowToEnergy" sheetId="16" r:id="rId14"/>
    <sheet name="StorageBleedEfficiency" sheetId="13" r:id="rId15"/>
    <sheet name="Lifetime" sheetId="21" r:id="rId16"/>
  </sheets>
  <externalReferences>
    <externalReference r:id="rId17"/>
  </externalReferences>
  <definedNames>
    <definedName name="_xlnm._FilterDatabase" localSheetId="7" hidden="1">EnergyInitialCapacity!$A$1:$D$235</definedName>
    <definedName name="_xlnm._FilterDatabase" localSheetId="8" hidden="1">EnergyMaxBuiltCapacity!$A$1:$D$68</definedName>
    <definedName name="_xlnm._FilterDatabase" localSheetId="9" hidden="1">EnergyMaxInstalledCapacity!$A$1:$C$67</definedName>
    <definedName name="_xlnm._FilterDatabase" localSheetId="0" hidden="1">InitialPowerCapacity!$A$1:$D$235</definedName>
    <definedName name="_xlnm._FilterDatabase" localSheetId="3" hidden="1">PowerMaxBuiltCapacity!$A$1:$D$68</definedName>
    <definedName name="_xlnm._FilterDatabase" localSheetId="4" hidden="1">PowerMaxInstalledCapacity!$A$1:$C$67</definedName>
    <definedName name="gen">#REF!</definedName>
    <definedName name="initCap" localSheetId="11">#REF!</definedName>
    <definedName name="initCap">#REF!</definedName>
    <definedName name="invCost" localSheetId="11">#REF!</definedName>
    <definedName name="invCost">#REF!</definedName>
    <definedName name="line">[1]Lifetime!$A$3:$C$8</definedName>
    <definedName name="line2">[1]Lifetime!$A$3:$C$5</definedName>
    <definedName name="maxBuiltCap" localSheetId="11">#REF!</definedName>
    <definedName name="maxBuiltCap">#REF!</definedName>
    <definedName name="maxInstalledCap" localSheetId="11">#REF!</definedName>
    <definedName name="maxInstalledCap">#REF!</definedName>
    <definedName name="stor">Lifetime!$A$3:$B$5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9" l="1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4" i="9"/>
  <c r="C5" i="10"/>
  <c r="C6" i="10"/>
  <c r="C8" i="10"/>
  <c r="C9" i="10"/>
  <c r="C10" i="10"/>
  <c r="C12" i="10"/>
  <c r="C13" i="10"/>
  <c r="C14" i="10"/>
  <c r="C15" i="10"/>
  <c r="C16" i="10"/>
  <c r="C17" i="10"/>
  <c r="C19" i="10"/>
  <c r="C20" i="10"/>
  <c r="D215" i="6" l="1"/>
  <c r="D187" i="6"/>
  <c r="D159" i="6"/>
  <c r="D131" i="6"/>
  <c r="D103" i="6"/>
  <c r="D75" i="6"/>
  <c r="D47" i="6"/>
  <c r="D18" i="6"/>
  <c r="C18" i="10" s="1"/>
  <c r="D208" i="6" l="1"/>
  <c r="D180" i="6"/>
  <c r="D152" i="6"/>
  <c r="D124" i="6"/>
  <c r="D96" i="6"/>
  <c r="D68" i="6"/>
  <c r="D40" i="6"/>
  <c r="D11" i="6"/>
  <c r="C11" i="10" s="1"/>
  <c r="D204" i="6"/>
  <c r="D176" i="6"/>
  <c r="D148" i="6"/>
  <c r="D120" i="6"/>
  <c r="D92" i="6"/>
  <c r="D64" i="6"/>
  <c r="D36" i="6"/>
  <c r="D7" i="6"/>
  <c r="C7" i="10" s="1"/>
  <c r="D201" i="6"/>
  <c r="D173" i="6"/>
  <c r="D145" i="6"/>
  <c r="D117" i="6"/>
  <c r="D89" i="6"/>
  <c r="D61" i="6"/>
  <c r="D33" i="6"/>
  <c r="D4" i="6"/>
  <c r="C4" i="10" s="1"/>
</calcChain>
</file>

<file path=xl/sharedStrings.xml><?xml version="1.0" encoding="utf-8"?>
<sst xmlns="http://schemas.openxmlformats.org/spreadsheetml/2006/main" count="999" uniqueCount="65">
  <si>
    <t>Period</t>
  </si>
  <si>
    <t>Li-Ion_BESS</t>
  </si>
  <si>
    <t>StorageTypes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</si>
  <si>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</si>
  <si>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</si>
  <si>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</si>
  <si>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</si>
  <si>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</si>
  <si>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</si>
  <si>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</si>
  <si>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</si>
  <si>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</si>
  <si>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</si>
  <si>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</si>
  <si>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</si>
  <si>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</si>
  <si>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</si>
  <si>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</si>
  <si>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</si>
  <si>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</si>
  <si>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</si>
  <si>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</si>
  <si>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</si>
  <si>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Nodes</t>
  </si>
  <si>
    <t>Hydro Pump Storage</t>
  </si>
  <si>
    <t>InitialPowerCapacity</t>
  </si>
  <si>
    <t>PowerMaxBuiltCapacity</t>
  </si>
  <si>
    <t>EnergyInitialCapacity</t>
  </si>
  <si>
    <t>EnergyMaxInstalledCapacity</t>
  </si>
  <si>
    <t>EnergyMaxBuiltCapacity</t>
  </si>
  <si>
    <t>PowerMaxInstalledCapacity</t>
  </si>
  <si>
    <t>StorageInitialEnergyLevel as a percentage of StorageInstalledEnergyCapacity</t>
  </si>
  <si>
    <t>StorageType</t>
  </si>
  <si>
    <t>storageBleedEff</t>
  </si>
  <si>
    <t>storageChargeEff</t>
  </si>
  <si>
    <t>storageDischargeEff</t>
  </si>
  <si>
    <t>Source: Eurelectric, ISO, ENTSO-E, ZEP</t>
  </si>
  <si>
    <t>PowerCapitalCost in euro per kW</t>
  </si>
  <si>
    <t>Source: Battery cost medish (Cole et al 2016) 2014$/kWh</t>
  </si>
  <si>
    <t>PowerFixedOMCost in euro per kW</t>
  </si>
  <si>
    <t>EnergyFixedOMCost in euro per kWh</t>
  </si>
  <si>
    <t>EnergyCapitalCost in euro per kWh</t>
  </si>
  <si>
    <t>storageLifetime</t>
  </si>
  <si>
    <t>Source: Assumed</t>
  </si>
  <si>
    <t>Description: Maximum capacity expansion of power of storage type in one node and period (default: 500 000)</t>
  </si>
  <si>
    <t>Description: Maximum capacity expansion of energy of storage type in one node and period (default: 500 000)</t>
  </si>
  <si>
    <t>Description: Initial capacity in each investment period. NB! No retirement (default: 0)</t>
  </si>
  <si>
    <t>Description: Capital cost for investing in power of storage (default: 0)</t>
  </si>
  <si>
    <t>Description: Fixed O&amp;M cost for investing in power of storage (default: 0)</t>
  </si>
  <si>
    <t>Description: Capital cost for investing in energy storage capacity (default: 0)</t>
  </si>
  <si>
    <t>Description: Fixed O&amp;M cost for investing in energy storage capacity (default: 0)</t>
  </si>
  <si>
    <t>Description: Initial capacity in node and investment period of a storage type. NB! No retirement (default: 0)</t>
  </si>
  <si>
    <t>Description: Maximum installed capacity in all time periods of energy of storage type (default: 0)</t>
  </si>
  <si>
    <t>Description: Maximum installed capacity in all time periods of power of storage type (default: 0)</t>
  </si>
  <si>
    <t>Description: Percentage of installed capacity available in first hour of a season (default: 0)</t>
  </si>
  <si>
    <t>Description: Efficiency of charging a storage (non-spillage during charging) (default: 1)</t>
  </si>
  <si>
    <t>Description: Efficiency of discharging a storage (non-spillage during discharging) (default: 1)</t>
  </si>
  <si>
    <t>Description: Required ratio between installed power of storage and installed energy of storage (default: 1)</t>
  </si>
  <si>
    <t>Description: Hourly percentage of spillage (self-discharge) of storage types (default: 1 - no self-discharge)</t>
  </si>
  <si>
    <t>Description: Lifetime in years of storage type (default: 0)</t>
  </si>
  <si>
    <t>Source: STATISTICAL FACTSHEET 2018 (ENTSO-E)</t>
  </si>
  <si>
    <t>Hydro capacity shared 50/50 between pumped and regulated</t>
  </si>
  <si>
    <t>Partly non-renewable according to ENTSO-E</t>
  </si>
  <si>
    <t>Source: Eurelectric: 'Hydro in Europe: Powering Renewables' (+10% of existing capacity)</t>
  </si>
  <si>
    <t>Source: Eurelectric, ISO, ENTSO-E, ZEP (+50% of installed capacity)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</si>
</sst>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vertical="center" wrapTex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ntnu-my.sharepoint.com/personal/stianbac_ntnu_no/Documents/EMPIRE/EMPIRE%20in%20Pyomo/EMPIRE-Pyomo/Data%20handler/europe_v48/Trans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Efficiency"/>
      <sheetName val="MaxInstallCapacityRaw"/>
      <sheetName val="MaxBuiltCapacity"/>
      <sheetName val="Length"/>
      <sheetName val="TypeCapitalCost"/>
      <sheetName val="TypeFixedOMCost"/>
      <sheetName val="InitialCapacity"/>
      <sheetName val="Life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InterconnectorLinks</v>
          </cell>
          <cell r="B3" t="str">
            <v>To Node</v>
          </cell>
          <cell r="C3" t="str">
            <v>transmissionLifetime</v>
          </cell>
        </row>
        <row r="4">
          <cell r="A4" t="str">
            <v>Switzerland</v>
          </cell>
          <cell r="B4" t="str">
            <v>Austria</v>
          </cell>
          <cell r="C4">
            <v>40</v>
          </cell>
        </row>
        <row r="5">
          <cell r="A5" t="str">
            <v>Czech R</v>
          </cell>
          <cell r="B5" t="str">
            <v>Austria</v>
          </cell>
          <cell r="C5">
            <v>40</v>
          </cell>
        </row>
        <row r="6">
          <cell r="A6" t="str">
            <v>Germany</v>
          </cell>
          <cell r="B6" t="str">
            <v>Austria</v>
          </cell>
          <cell r="C6">
            <v>40</v>
          </cell>
        </row>
        <row r="7">
          <cell r="A7" t="str">
            <v>Hungary</v>
          </cell>
          <cell r="B7" t="str">
            <v>Austria</v>
          </cell>
          <cell r="C7">
            <v>40</v>
          </cell>
        </row>
        <row r="8">
          <cell r="A8" t="str">
            <v>Italy</v>
          </cell>
          <cell r="B8" t="str">
            <v>Austria</v>
          </cell>
          <cell r="C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5"/>
  <sheetViews>
    <sheetView workbookViewId="0">
      <selection activeCell="B27" sqref="B27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19.1640625" customWidth="1"/>
  </cols>
  <sheetData>
    <row r="1" spans="1:7" x14ac:dyDescent="0.2">
      <c r="A1" t="s">
        <v>60</v>
      </c>
    </row>
    <row r="2" spans="1:7" x14ac:dyDescent="0.2">
      <c r="A2" t="s">
        <v>46</v>
      </c>
      <c r="F2" s="4"/>
      <c r="G2" t="s">
        <v>61</v>
      </c>
    </row>
    <row r="3" spans="1:7" x14ac:dyDescent="0.2">
      <c r="A3" t="s">
        <v>23</v>
      </c>
      <c r="B3" t="s">
        <v>2</v>
      </c>
      <c r="C3" t="s">
        <v>0</v>
      </c>
      <c r="D3" t="s">
        <v>25</v>
      </c>
      <c r="F3" s="6"/>
      <c r="G3" t="s">
        <v>62</v>
      </c>
    </row>
    <row r="4" spans="1:7" x14ac:dyDescent="0.2">
      <c r="A4" t="s">
        <v>3</v>
      </c>
      <c r="B4" t="s">
        <v>24</v>
      </c>
      <c r="C4">
        <v>1</v>
      </c>
      <c r="D4" s="5">
        <f>8436/2</f>
        <v>4218</v>
      </c>
    </row>
    <row r="5" spans="1:7" x14ac:dyDescent="0.2">
      <c r="A5" t="s">
        <v>4</v>
      </c>
      <c r="B5" t="s">
        <v>24</v>
      </c>
      <c r="C5">
        <v>1</v>
      </c>
      <c r="D5">
        <v>335</v>
      </c>
    </row>
    <row r="6" spans="1:7" x14ac:dyDescent="0.2">
      <c r="A6" t="s">
        <v>5</v>
      </c>
      <c r="B6" t="s">
        <v>24</v>
      </c>
      <c r="C6">
        <v>1</v>
      </c>
      <c r="D6" s="6">
        <v>1308</v>
      </c>
    </row>
    <row r="7" spans="1:7" x14ac:dyDescent="0.2">
      <c r="A7" t="s">
        <v>6</v>
      </c>
      <c r="B7" t="s">
        <v>24</v>
      </c>
      <c r="C7">
        <v>1</v>
      </c>
      <c r="D7" s="6">
        <f>864+133+57</f>
        <v>1054</v>
      </c>
    </row>
    <row r="8" spans="1:7" x14ac:dyDescent="0.2">
      <c r="A8" t="s">
        <v>7</v>
      </c>
      <c r="B8" t="s">
        <v>24</v>
      </c>
      <c r="C8">
        <v>1</v>
      </c>
      <c r="D8">
        <v>1864</v>
      </c>
    </row>
    <row r="9" spans="1:7" x14ac:dyDescent="0.2">
      <c r="A9" t="s">
        <v>8</v>
      </c>
      <c r="B9" t="s">
        <v>24</v>
      </c>
      <c r="C9">
        <v>1</v>
      </c>
      <c r="D9" s="6">
        <v>1172</v>
      </c>
    </row>
    <row r="10" spans="1:7" x14ac:dyDescent="0.2">
      <c r="A10" t="s">
        <v>9</v>
      </c>
      <c r="B10" t="s">
        <v>24</v>
      </c>
      <c r="C10">
        <v>1</v>
      </c>
      <c r="D10" s="6">
        <v>5294</v>
      </c>
    </row>
    <row r="11" spans="1:7" x14ac:dyDescent="0.2">
      <c r="A11" t="s">
        <v>12</v>
      </c>
      <c r="B11" t="s">
        <v>24</v>
      </c>
      <c r="C11">
        <v>1</v>
      </c>
      <c r="D11" s="6">
        <f>3329+3073</f>
        <v>6402</v>
      </c>
    </row>
    <row r="12" spans="1:7" x14ac:dyDescent="0.2">
      <c r="A12" t="s">
        <v>14</v>
      </c>
      <c r="B12" t="s">
        <v>24</v>
      </c>
      <c r="C12">
        <v>1</v>
      </c>
      <c r="D12">
        <v>2455</v>
      </c>
    </row>
    <row r="13" spans="1:7" x14ac:dyDescent="0.2">
      <c r="A13" t="s">
        <v>15</v>
      </c>
      <c r="B13" t="s">
        <v>24</v>
      </c>
      <c r="C13">
        <v>1</v>
      </c>
      <c r="D13">
        <v>2744</v>
      </c>
    </row>
    <row r="14" spans="1:7" x14ac:dyDescent="0.2">
      <c r="A14" t="s">
        <v>16</v>
      </c>
      <c r="B14" t="s">
        <v>24</v>
      </c>
      <c r="C14">
        <v>1</v>
      </c>
      <c r="D14">
        <v>699</v>
      </c>
    </row>
    <row r="15" spans="1:7" x14ac:dyDescent="0.2">
      <c r="A15" t="s">
        <v>17</v>
      </c>
      <c r="B15" t="s">
        <v>24</v>
      </c>
      <c r="C15">
        <v>1</v>
      </c>
      <c r="D15">
        <v>281</v>
      </c>
    </row>
    <row r="16" spans="1:7" x14ac:dyDescent="0.2">
      <c r="A16" t="s">
        <v>18</v>
      </c>
      <c r="B16" t="s">
        <v>24</v>
      </c>
      <c r="C16">
        <v>1</v>
      </c>
      <c r="D16">
        <v>28</v>
      </c>
    </row>
    <row r="17" spans="1:4" x14ac:dyDescent="0.2">
      <c r="A17" t="s">
        <v>19</v>
      </c>
      <c r="B17" t="s">
        <v>24</v>
      </c>
      <c r="C17">
        <v>1</v>
      </c>
      <c r="D17" s="6">
        <v>292</v>
      </c>
    </row>
    <row r="18" spans="1:4" x14ac:dyDescent="0.2">
      <c r="A18" t="s">
        <v>20</v>
      </c>
      <c r="B18" t="s">
        <v>24</v>
      </c>
      <c r="C18">
        <v>1</v>
      </c>
      <c r="D18" s="6">
        <f>4753+4015</f>
        <v>8768</v>
      </c>
    </row>
    <row r="19" spans="1:4" x14ac:dyDescent="0.2">
      <c r="A19" t="s">
        <v>21</v>
      </c>
      <c r="B19" t="s">
        <v>24</v>
      </c>
      <c r="C19">
        <v>1</v>
      </c>
      <c r="D19" s="6">
        <v>900</v>
      </c>
    </row>
    <row r="20" spans="1:4" x14ac:dyDescent="0.2">
      <c r="A20" t="s">
        <v>22</v>
      </c>
      <c r="B20" t="s">
        <v>24</v>
      </c>
      <c r="C20">
        <v>1</v>
      </c>
      <c r="D20" s="6">
        <v>1296</v>
      </c>
    </row>
    <row r="26" spans="1:4" x14ac:dyDescent="0.2">
      <c r="D26" s="6"/>
    </row>
    <row r="31" spans="1:4" x14ac:dyDescent="0.2">
      <c r="D31" s="6"/>
    </row>
    <row r="32" spans="1:4" x14ac:dyDescent="0.2">
      <c r="D32" s="6"/>
    </row>
    <row r="33" spans="1:4" x14ac:dyDescent="0.2">
      <c r="A33" t="s">
        <v>3</v>
      </c>
      <c r="B33" t="s">
        <v>24</v>
      </c>
      <c r="C33">
        <v>2</v>
      </c>
      <c r="D33" s="5">
        <f>8436/2</f>
        <v>4218</v>
      </c>
    </row>
    <row r="34" spans="1:4" x14ac:dyDescent="0.2">
      <c r="A34" t="s">
        <v>4</v>
      </c>
      <c r="B34" t="s">
        <v>24</v>
      </c>
      <c r="C34">
        <v>2</v>
      </c>
      <c r="D34">
        <v>335</v>
      </c>
    </row>
    <row r="35" spans="1:4" x14ac:dyDescent="0.2">
      <c r="A35" t="s">
        <v>5</v>
      </c>
      <c r="B35" t="s">
        <v>24</v>
      </c>
      <c r="C35">
        <v>2</v>
      </c>
      <c r="D35" s="6">
        <v>1308</v>
      </c>
    </row>
    <row r="36" spans="1:4" x14ac:dyDescent="0.2">
      <c r="A36" t="s">
        <v>6</v>
      </c>
      <c r="B36" t="s">
        <v>24</v>
      </c>
      <c r="C36">
        <v>2</v>
      </c>
      <c r="D36" s="6">
        <f>864+133+57</f>
        <v>1054</v>
      </c>
    </row>
    <row r="37" spans="1:4" x14ac:dyDescent="0.2">
      <c r="A37" t="s">
        <v>7</v>
      </c>
      <c r="B37" t="s">
        <v>24</v>
      </c>
      <c r="C37">
        <v>2</v>
      </c>
      <c r="D37">
        <v>1864</v>
      </c>
    </row>
    <row r="38" spans="1:4" x14ac:dyDescent="0.2">
      <c r="A38" t="s">
        <v>8</v>
      </c>
      <c r="B38" t="s">
        <v>24</v>
      </c>
      <c r="C38">
        <v>2</v>
      </c>
      <c r="D38" s="6">
        <v>1172</v>
      </c>
    </row>
    <row r="39" spans="1:4" x14ac:dyDescent="0.2">
      <c r="A39" t="s">
        <v>9</v>
      </c>
      <c r="B39" t="s">
        <v>24</v>
      </c>
      <c r="C39">
        <v>2</v>
      </c>
      <c r="D39" s="6">
        <v>5294</v>
      </c>
    </row>
    <row r="40" spans="1:4" x14ac:dyDescent="0.2">
      <c r="A40" t="s">
        <v>12</v>
      </c>
      <c r="B40" t="s">
        <v>24</v>
      </c>
      <c r="C40">
        <v>2</v>
      </c>
      <c r="D40" s="6">
        <f>3329+3073</f>
        <v>6402</v>
      </c>
    </row>
    <row r="41" spans="1:4" x14ac:dyDescent="0.2">
      <c r="A41" t="s">
        <v>14</v>
      </c>
      <c r="B41" t="s">
        <v>24</v>
      </c>
      <c r="C41">
        <v>2</v>
      </c>
      <c r="D41">
        <v>2455</v>
      </c>
    </row>
    <row r="42" spans="1:4" x14ac:dyDescent="0.2">
      <c r="A42" t="s">
        <v>15</v>
      </c>
      <c r="B42" t="s">
        <v>24</v>
      </c>
      <c r="C42">
        <v>2</v>
      </c>
      <c r="D42">
        <v>2744</v>
      </c>
    </row>
    <row r="43" spans="1:4" x14ac:dyDescent="0.2">
      <c r="A43" t="s">
        <v>16</v>
      </c>
      <c r="B43" t="s">
        <v>24</v>
      </c>
      <c r="C43">
        <v>2</v>
      </c>
      <c r="D43">
        <v>699</v>
      </c>
    </row>
    <row r="44" spans="1:4" x14ac:dyDescent="0.2">
      <c r="A44" t="s">
        <v>17</v>
      </c>
      <c r="B44" t="s">
        <v>24</v>
      </c>
      <c r="C44">
        <v>2</v>
      </c>
      <c r="D44">
        <v>281</v>
      </c>
    </row>
    <row r="45" spans="1:4" x14ac:dyDescent="0.2">
      <c r="A45" t="s">
        <v>18</v>
      </c>
      <c r="B45" t="s">
        <v>24</v>
      </c>
      <c r="C45">
        <v>2</v>
      </c>
      <c r="D45">
        <v>28</v>
      </c>
    </row>
    <row r="46" spans="1:4" x14ac:dyDescent="0.2">
      <c r="A46" t="s">
        <v>19</v>
      </c>
      <c r="B46" t="s">
        <v>24</v>
      </c>
      <c r="C46">
        <v>2</v>
      </c>
      <c r="D46" s="6">
        <v>292</v>
      </c>
    </row>
    <row r="47" spans="1:4" x14ac:dyDescent="0.2">
      <c r="A47" t="s">
        <v>20</v>
      </c>
      <c r="B47" t="s">
        <v>24</v>
      </c>
      <c r="C47">
        <v>2</v>
      </c>
      <c r="D47" s="6">
        <f>4753+4015</f>
        <v>8768</v>
      </c>
    </row>
    <row r="48" spans="1:4" x14ac:dyDescent="0.2">
      <c r="A48" t="s">
        <v>21</v>
      </c>
      <c r="B48" t="s">
        <v>24</v>
      </c>
      <c r="C48">
        <v>2</v>
      </c>
      <c r="D48" s="6">
        <v>900</v>
      </c>
    </row>
    <row r="49" spans="1:4" x14ac:dyDescent="0.2">
      <c r="A49" t="s">
        <v>22</v>
      </c>
      <c r="B49" t="s">
        <v>24</v>
      </c>
      <c r="C49">
        <v>2</v>
      </c>
      <c r="D49" s="6">
        <v>1296</v>
      </c>
    </row>
    <row r="55" spans="1:4" x14ac:dyDescent="0.2">
      <c r="D55" s="6"/>
    </row>
    <row r="60" spans="1:4" x14ac:dyDescent="0.2">
      <c r="D60" s="6"/>
    </row>
    <row r="61" spans="1:4" x14ac:dyDescent="0.2">
      <c r="A61" t="s">
        <v>3</v>
      </c>
      <c r="B61" t="s">
        <v>24</v>
      </c>
      <c r="C61">
        <v>3</v>
      </c>
      <c r="D61" s="5">
        <f>8436/2</f>
        <v>4218</v>
      </c>
    </row>
    <row r="62" spans="1:4" x14ac:dyDescent="0.2">
      <c r="A62" t="s">
        <v>4</v>
      </c>
      <c r="B62" t="s">
        <v>24</v>
      </c>
      <c r="C62">
        <v>3</v>
      </c>
      <c r="D62">
        <v>335</v>
      </c>
    </row>
    <row r="63" spans="1:4" x14ac:dyDescent="0.2">
      <c r="A63" t="s">
        <v>5</v>
      </c>
      <c r="B63" t="s">
        <v>24</v>
      </c>
      <c r="C63">
        <v>3</v>
      </c>
      <c r="D63" s="6">
        <v>1308</v>
      </c>
    </row>
    <row r="64" spans="1:4" x14ac:dyDescent="0.2">
      <c r="A64" t="s">
        <v>6</v>
      </c>
      <c r="B64" t="s">
        <v>24</v>
      </c>
      <c r="C64">
        <v>3</v>
      </c>
      <c r="D64" s="6">
        <f>864+133+57</f>
        <v>1054</v>
      </c>
    </row>
    <row r="65" spans="1:4" x14ac:dyDescent="0.2">
      <c r="A65" t="s">
        <v>7</v>
      </c>
      <c r="B65" t="s">
        <v>24</v>
      </c>
      <c r="C65">
        <v>3</v>
      </c>
      <c r="D65">
        <v>1864</v>
      </c>
    </row>
    <row r="66" spans="1:4" x14ac:dyDescent="0.2">
      <c r="A66" t="s">
        <v>8</v>
      </c>
      <c r="B66" t="s">
        <v>24</v>
      </c>
      <c r="C66">
        <v>3</v>
      </c>
      <c r="D66" s="6">
        <v>1172</v>
      </c>
    </row>
    <row r="67" spans="1:4" x14ac:dyDescent="0.2">
      <c r="A67" t="s">
        <v>9</v>
      </c>
      <c r="B67" t="s">
        <v>24</v>
      </c>
      <c r="C67">
        <v>3</v>
      </c>
      <c r="D67" s="6">
        <v>5294</v>
      </c>
    </row>
    <row r="68" spans="1:4" x14ac:dyDescent="0.2">
      <c r="A68" t="s">
        <v>12</v>
      </c>
      <c r="B68" t="s">
        <v>24</v>
      </c>
      <c r="C68">
        <v>3</v>
      </c>
      <c r="D68" s="6">
        <f>3329+3073</f>
        <v>6402</v>
      </c>
    </row>
    <row r="69" spans="1:4" x14ac:dyDescent="0.2">
      <c r="A69" t="s">
        <v>14</v>
      </c>
      <c r="B69" t="s">
        <v>24</v>
      </c>
      <c r="C69">
        <v>3</v>
      </c>
      <c r="D69">
        <v>2455</v>
      </c>
    </row>
    <row r="70" spans="1:4" x14ac:dyDescent="0.2">
      <c r="A70" t="s">
        <v>15</v>
      </c>
      <c r="B70" t="s">
        <v>24</v>
      </c>
      <c r="C70">
        <v>3</v>
      </c>
      <c r="D70">
        <v>2744</v>
      </c>
    </row>
    <row r="71" spans="1:4" x14ac:dyDescent="0.2">
      <c r="A71" t="s">
        <v>16</v>
      </c>
      <c r="B71" t="s">
        <v>24</v>
      </c>
      <c r="C71">
        <v>3</v>
      </c>
      <c r="D71">
        <v>699</v>
      </c>
    </row>
    <row r="72" spans="1:4" x14ac:dyDescent="0.2">
      <c r="A72" t="s">
        <v>17</v>
      </c>
      <c r="B72" t="s">
        <v>24</v>
      </c>
      <c r="C72">
        <v>3</v>
      </c>
      <c r="D72">
        <v>281</v>
      </c>
    </row>
    <row r="73" spans="1:4" x14ac:dyDescent="0.2">
      <c r="A73" t="s">
        <v>18</v>
      </c>
      <c r="B73" t="s">
        <v>24</v>
      </c>
      <c r="C73">
        <v>3</v>
      </c>
      <c r="D73">
        <v>28</v>
      </c>
    </row>
    <row r="74" spans="1:4" x14ac:dyDescent="0.2">
      <c r="A74" t="s">
        <v>19</v>
      </c>
      <c r="B74" t="s">
        <v>24</v>
      </c>
      <c r="C74">
        <v>3</v>
      </c>
      <c r="D74" s="6">
        <v>292</v>
      </c>
    </row>
    <row r="75" spans="1:4" x14ac:dyDescent="0.2">
      <c r="A75" t="s">
        <v>20</v>
      </c>
      <c r="B75" t="s">
        <v>24</v>
      </c>
      <c r="C75">
        <v>3</v>
      </c>
      <c r="D75" s="6">
        <f>4753+4015</f>
        <v>8768</v>
      </c>
    </row>
    <row r="76" spans="1:4" x14ac:dyDescent="0.2">
      <c r="A76" t="s">
        <v>21</v>
      </c>
      <c r="B76" t="s">
        <v>24</v>
      </c>
      <c r="C76">
        <v>3</v>
      </c>
      <c r="D76" s="6">
        <v>900</v>
      </c>
    </row>
    <row r="77" spans="1:4" x14ac:dyDescent="0.2">
      <c r="A77" t="s">
        <v>22</v>
      </c>
      <c r="B77" t="s">
        <v>24</v>
      </c>
      <c r="C77">
        <v>3</v>
      </c>
      <c r="D77" s="6">
        <v>1296</v>
      </c>
    </row>
    <row r="83" spans="1:4" x14ac:dyDescent="0.2">
      <c r="D83" s="6"/>
    </row>
    <row r="88" spans="1:4" x14ac:dyDescent="0.2">
      <c r="D88" s="6"/>
    </row>
    <row r="89" spans="1:4" x14ac:dyDescent="0.2">
      <c r="A89" t="s">
        <v>3</v>
      </c>
      <c r="B89" t="s">
        <v>24</v>
      </c>
      <c r="C89">
        <v>4</v>
      </c>
      <c r="D89" s="5">
        <f>8436/2</f>
        <v>4218</v>
      </c>
    </row>
    <row r="90" spans="1:4" x14ac:dyDescent="0.2">
      <c r="A90" t="s">
        <v>4</v>
      </c>
      <c r="B90" t="s">
        <v>24</v>
      </c>
      <c r="C90">
        <v>4</v>
      </c>
      <c r="D90">
        <v>335</v>
      </c>
    </row>
    <row r="91" spans="1:4" x14ac:dyDescent="0.2">
      <c r="A91" t="s">
        <v>5</v>
      </c>
      <c r="B91" t="s">
        <v>24</v>
      </c>
      <c r="C91">
        <v>4</v>
      </c>
      <c r="D91" s="6">
        <v>1308</v>
      </c>
    </row>
    <row r="92" spans="1:4" x14ac:dyDescent="0.2">
      <c r="A92" t="s">
        <v>6</v>
      </c>
      <c r="B92" t="s">
        <v>24</v>
      </c>
      <c r="C92">
        <v>4</v>
      </c>
      <c r="D92" s="6">
        <f>864+133+57</f>
        <v>1054</v>
      </c>
    </row>
    <row r="93" spans="1:4" x14ac:dyDescent="0.2">
      <c r="A93" t="s">
        <v>7</v>
      </c>
      <c r="B93" t="s">
        <v>24</v>
      </c>
      <c r="C93">
        <v>4</v>
      </c>
      <c r="D93">
        <v>1864</v>
      </c>
    </row>
    <row r="94" spans="1:4" x14ac:dyDescent="0.2">
      <c r="A94" t="s">
        <v>8</v>
      </c>
      <c r="B94" t="s">
        <v>24</v>
      </c>
      <c r="C94">
        <v>4</v>
      </c>
      <c r="D94" s="6">
        <v>1172</v>
      </c>
    </row>
    <row r="95" spans="1:4" x14ac:dyDescent="0.2">
      <c r="A95" t="s">
        <v>9</v>
      </c>
      <c r="B95" t="s">
        <v>24</v>
      </c>
      <c r="C95">
        <v>4</v>
      </c>
      <c r="D95" s="6">
        <v>5294</v>
      </c>
    </row>
    <row r="96" spans="1:4" x14ac:dyDescent="0.2">
      <c r="A96" t="s">
        <v>12</v>
      </c>
      <c r="B96" t="s">
        <v>24</v>
      </c>
      <c r="C96">
        <v>4</v>
      </c>
      <c r="D96" s="6">
        <f>3329+3073</f>
        <v>6402</v>
      </c>
    </row>
    <row r="97" spans="1:4" x14ac:dyDescent="0.2">
      <c r="A97" t="s">
        <v>14</v>
      </c>
      <c r="B97" t="s">
        <v>24</v>
      </c>
      <c r="C97">
        <v>4</v>
      </c>
      <c r="D97">
        <v>2455</v>
      </c>
    </row>
    <row r="98" spans="1:4" x14ac:dyDescent="0.2">
      <c r="A98" t="s">
        <v>15</v>
      </c>
      <c r="B98" t="s">
        <v>24</v>
      </c>
      <c r="C98">
        <v>4</v>
      </c>
      <c r="D98">
        <v>2744</v>
      </c>
    </row>
    <row r="99" spans="1:4" x14ac:dyDescent="0.2">
      <c r="A99" t="s">
        <v>16</v>
      </c>
      <c r="B99" t="s">
        <v>24</v>
      </c>
      <c r="C99">
        <v>4</v>
      </c>
      <c r="D99">
        <v>699</v>
      </c>
    </row>
    <row r="100" spans="1:4" x14ac:dyDescent="0.2">
      <c r="A100" t="s">
        <v>17</v>
      </c>
      <c r="B100" t="s">
        <v>24</v>
      </c>
      <c r="C100">
        <v>4</v>
      </c>
      <c r="D100">
        <v>281</v>
      </c>
    </row>
    <row r="101" spans="1:4" x14ac:dyDescent="0.2">
      <c r="A101" t="s">
        <v>18</v>
      </c>
      <c r="B101" t="s">
        <v>24</v>
      </c>
      <c r="C101">
        <v>4</v>
      </c>
      <c r="D101">
        <v>28</v>
      </c>
    </row>
    <row r="102" spans="1:4" x14ac:dyDescent="0.2">
      <c r="A102" t="s">
        <v>19</v>
      </c>
      <c r="B102" t="s">
        <v>24</v>
      </c>
      <c r="C102">
        <v>4</v>
      </c>
      <c r="D102" s="6">
        <v>292</v>
      </c>
    </row>
    <row r="103" spans="1:4" x14ac:dyDescent="0.2">
      <c r="A103" t="s">
        <v>20</v>
      </c>
      <c r="B103" t="s">
        <v>24</v>
      </c>
      <c r="C103">
        <v>4</v>
      </c>
      <c r="D103" s="6">
        <f>4753+4015</f>
        <v>8768</v>
      </c>
    </row>
    <row r="104" spans="1:4" x14ac:dyDescent="0.2">
      <c r="A104" t="s">
        <v>21</v>
      </c>
      <c r="B104" t="s">
        <v>24</v>
      </c>
      <c r="C104">
        <v>4</v>
      </c>
      <c r="D104" s="6">
        <v>900</v>
      </c>
    </row>
    <row r="105" spans="1:4" x14ac:dyDescent="0.2">
      <c r="A105" t="s">
        <v>22</v>
      </c>
      <c r="B105" t="s">
        <v>24</v>
      </c>
      <c r="C105">
        <v>4</v>
      </c>
      <c r="D105" s="6">
        <v>1296</v>
      </c>
    </row>
    <row r="111" spans="1:4" x14ac:dyDescent="0.2">
      <c r="D111" s="6"/>
    </row>
    <row r="116" spans="1:4" x14ac:dyDescent="0.2">
      <c r="D116" s="6"/>
    </row>
    <row r="117" spans="1:4" x14ac:dyDescent="0.2">
      <c r="A117" t="s">
        <v>3</v>
      </c>
      <c r="B117" t="s">
        <v>24</v>
      </c>
      <c r="C117">
        <v>5</v>
      </c>
      <c r="D117" s="5">
        <f>8436/2</f>
        <v>4218</v>
      </c>
    </row>
    <row r="118" spans="1:4" x14ac:dyDescent="0.2">
      <c r="A118" t="s">
        <v>4</v>
      </c>
      <c r="B118" t="s">
        <v>24</v>
      </c>
      <c r="C118">
        <v>5</v>
      </c>
      <c r="D118">
        <v>335</v>
      </c>
    </row>
    <row r="119" spans="1:4" x14ac:dyDescent="0.2">
      <c r="A119" t="s">
        <v>5</v>
      </c>
      <c r="B119" t="s">
        <v>24</v>
      </c>
      <c r="C119">
        <v>5</v>
      </c>
      <c r="D119" s="6">
        <v>1308</v>
      </c>
    </row>
    <row r="120" spans="1:4" x14ac:dyDescent="0.2">
      <c r="A120" t="s">
        <v>6</v>
      </c>
      <c r="B120" t="s">
        <v>24</v>
      </c>
      <c r="C120">
        <v>5</v>
      </c>
      <c r="D120" s="6">
        <f>864+133+57</f>
        <v>1054</v>
      </c>
    </row>
    <row r="121" spans="1:4" x14ac:dyDescent="0.2">
      <c r="A121" t="s">
        <v>7</v>
      </c>
      <c r="B121" t="s">
        <v>24</v>
      </c>
      <c r="C121">
        <v>5</v>
      </c>
      <c r="D121">
        <v>1864</v>
      </c>
    </row>
    <row r="122" spans="1:4" x14ac:dyDescent="0.2">
      <c r="A122" t="s">
        <v>8</v>
      </c>
      <c r="B122" t="s">
        <v>24</v>
      </c>
      <c r="C122">
        <v>5</v>
      </c>
      <c r="D122" s="6">
        <v>1172</v>
      </c>
    </row>
    <row r="123" spans="1:4" x14ac:dyDescent="0.2">
      <c r="A123" t="s">
        <v>9</v>
      </c>
      <c r="B123" t="s">
        <v>24</v>
      </c>
      <c r="C123">
        <v>5</v>
      </c>
      <c r="D123" s="6">
        <v>5294</v>
      </c>
    </row>
    <row r="124" spans="1:4" x14ac:dyDescent="0.2">
      <c r="A124" t="s">
        <v>12</v>
      </c>
      <c r="B124" t="s">
        <v>24</v>
      </c>
      <c r="C124">
        <v>5</v>
      </c>
      <c r="D124" s="6">
        <f>3329+3073</f>
        <v>6402</v>
      </c>
    </row>
    <row r="125" spans="1:4" x14ac:dyDescent="0.2">
      <c r="A125" t="s">
        <v>14</v>
      </c>
      <c r="B125" t="s">
        <v>24</v>
      </c>
      <c r="C125">
        <v>5</v>
      </c>
      <c r="D125">
        <v>2455</v>
      </c>
    </row>
    <row r="126" spans="1:4" x14ac:dyDescent="0.2">
      <c r="A126" t="s">
        <v>15</v>
      </c>
      <c r="B126" t="s">
        <v>24</v>
      </c>
      <c r="C126">
        <v>5</v>
      </c>
      <c r="D126">
        <v>2744</v>
      </c>
    </row>
    <row r="127" spans="1:4" x14ac:dyDescent="0.2">
      <c r="A127" t="s">
        <v>16</v>
      </c>
      <c r="B127" t="s">
        <v>24</v>
      </c>
      <c r="C127">
        <v>5</v>
      </c>
      <c r="D127">
        <v>699</v>
      </c>
    </row>
    <row r="128" spans="1:4" x14ac:dyDescent="0.2">
      <c r="A128" t="s">
        <v>17</v>
      </c>
      <c r="B128" t="s">
        <v>24</v>
      </c>
      <c r="C128">
        <v>5</v>
      </c>
      <c r="D128">
        <v>281</v>
      </c>
    </row>
    <row r="129" spans="1:4" x14ac:dyDescent="0.2">
      <c r="A129" t="s">
        <v>18</v>
      </c>
      <c r="B129" t="s">
        <v>24</v>
      </c>
      <c r="C129">
        <v>5</v>
      </c>
      <c r="D129">
        <v>28</v>
      </c>
    </row>
    <row r="130" spans="1:4" x14ac:dyDescent="0.2">
      <c r="A130" t="s">
        <v>19</v>
      </c>
      <c r="B130" t="s">
        <v>24</v>
      </c>
      <c r="C130">
        <v>5</v>
      </c>
      <c r="D130" s="6">
        <v>292</v>
      </c>
    </row>
    <row r="131" spans="1:4" x14ac:dyDescent="0.2">
      <c r="A131" t="s">
        <v>20</v>
      </c>
      <c r="B131" t="s">
        <v>24</v>
      </c>
      <c r="C131">
        <v>5</v>
      </c>
      <c r="D131" s="6">
        <f>4753+4015</f>
        <v>8768</v>
      </c>
    </row>
    <row r="132" spans="1:4" x14ac:dyDescent="0.2">
      <c r="A132" t="s">
        <v>21</v>
      </c>
      <c r="B132" t="s">
        <v>24</v>
      </c>
      <c r="C132">
        <v>5</v>
      </c>
      <c r="D132" s="6">
        <v>900</v>
      </c>
    </row>
    <row r="133" spans="1:4" x14ac:dyDescent="0.2">
      <c r="A133" t="s">
        <v>22</v>
      </c>
      <c r="B133" t="s">
        <v>24</v>
      </c>
      <c r="C133">
        <v>5</v>
      </c>
      <c r="D133" s="6">
        <v>1296</v>
      </c>
    </row>
    <row r="139" spans="1:4" x14ac:dyDescent="0.2">
      <c r="D139" s="6"/>
    </row>
    <row r="144" spans="1:4" x14ac:dyDescent="0.2">
      <c r="D144" s="6"/>
    </row>
    <row r="145" spans="1:4" x14ac:dyDescent="0.2">
      <c r="A145" t="s">
        <v>3</v>
      </c>
      <c r="B145" t="s">
        <v>24</v>
      </c>
      <c r="C145">
        <v>6</v>
      </c>
      <c r="D145" s="5">
        <f>8436/2</f>
        <v>4218</v>
      </c>
    </row>
    <row r="146" spans="1:4" x14ac:dyDescent="0.2">
      <c r="A146" t="s">
        <v>4</v>
      </c>
      <c r="B146" t="s">
        <v>24</v>
      </c>
      <c r="C146">
        <v>6</v>
      </c>
      <c r="D146">
        <v>335</v>
      </c>
    </row>
    <row r="147" spans="1:4" x14ac:dyDescent="0.2">
      <c r="A147" t="s">
        <v>5</v>
      </c>
      <c r="B147" t="s">
        <v>24</v>
      </c>
      <c r="C147">
        <v>6</v>
      </c>
      <c r="D147" s="6">
        <v>1308</v>
      </c>
    </row>
    <row r="148" spans="1:4" x14ac:dyDescent="0.2">
      <c r="A148" t="s">
        <v>6</v>
      </c>
      <c r="B148" t="s">
        <v>24</v>
      </c>
      <c r="C148">
        <v>6</v>
      </c>
      <c r="D148" s="6">
        <f>864+133+57</f>
        <v>1054</v>
      </c>
    </row>
    <row r="149" spans="1:4" x14ac:dyDescent="0.2">
      <c r="A149" t="s">
        <v>7</v>
      </c>
      <c r="B149" t="s">
        <v>24</v>
      </c>
      <c r="C149">
        <v>6</v>
      </c>
      <c r="D149">
        <v>1864</v>
      </c>
    </row>
    <row r="150" spans="1:4" x14ac:dyDescent="0.2">
      <c r="A150" t="s">
        <v>8</v>
      </c>
      <c r="B150" t="s">
        <v>24</v>
      </c>
      <c r="C150">
        <v>6</v>
      </c>
      <c r="D150" s="6">
        <v>1172</v>
      </c>
    </row>
    <row r="151" spans="1:4" x14ac:dyDescent="0.2">
      <c r="A151" t="s">
        <v>9</v>
      </c>
      <c r="B151" t="s">
        <v>24</v>
      </c>
      <c r="C151">
        <v>6</v>
      </c>
      <c r="D151" s="6">
        <v>5294</v>
      </c>
    </row>
    <row r="152" spans="1:4" x14ac:dyDescent="0.2">
      <c r="A152" t="s">
        <v>12</v>
      </c>
      <c r="B152" t="s">
        <v>24</v>
      </c>
      <c r="C152">
        <v>6</v>
      </c>
      <c r="D152" s="6">
        <f>3329+3073</f>
        <v>6402</v>
      </c>
    </row>
    <row r="153" spans="1:4" x14ac:dyDescent="0.2">
      <c r="A153" t="s">
        <v>14</v>
      </c>
      <c r="B153" t="s">
        <v>24</v>
      </c>
      <c r="C153">
        <v>6</v>
      </c>
      <c r="D153">
        <v>2455</v>
      </c>
    </row>
    <row r="154" spans="1:4" x14ac:dyDescent="0.2">
      <c r="A154" t="s">
        <v>15</v>
      </c>
      <c r="B154" t="s">
        <v>24</v>
      </c>
      <c r="C154">
        <v>6</v>
      </c>
      <c r="D154">
        <v>2744</v>
      </c>
    </row>
    <row r="155" spans="1:4" x14ac:dyDescent="0.2">
      <c r="A155" t="s">
        <v>16</v>
      </c>
      <c r="B155" t="s">
        <v>24</v>
      </c>
      <c r="C155">
        <v>6</v>
      </c>
      <c r="D155">
        <v>699</v>
      </c>
    </row>
    <row r="156" spans="1:4" x14ac:dyDescent="0.2">
      <c r="A156" t="s">
        <v>17</v>
      </c>
      <c r="B156" t="s">
        <v>24</v>
      </c>
      <c r="C156">
        <v>6</v>
      </c>
      <c r="D156">
        <v>281</v>
      </c>
    </row>
    <row r="157" spans="1:4" x14ac:dyDescent="0.2">
      <c r="A157" t="s">
        <v>18</v>
      </c>
      <c r="B157" t="s">
        <v>24</v>
      </c>
      <c r="C157">
        <v>6</v>
      </c>
      <c r="D157">
        <v>28</v>
      </c>
    </row>
    <row r="158" spans="1:4" x14ac:dyDescent="0.2">
      <c r="A158" t="s">
        <v>19</v>
      </c>
      <c r="B158" t="s">
        <v>24</v>
      </c>
      <c r="C158">
        <v>6</v>
      </c>
      <c r="D158" s="6">
        <v>292</v>
      </c>
    </row>
    <row r="159" spans="1:4" x14ac:dyDescent="0.2">
      <c r="A159" t="s">
        <v>20</v>
      </c>
      <c r="B159" t="s">
        <v>24</v>
      </c>
      <c r="C159">
        <v>6</v>
      </c>
      <c r="D159" s="6">
        <f>4753+4015</f>
        <v>8768</v>
      </c>
    </row>
    <row r="160" spans="1:4" x14ac:dyDescent="0.2">
      <c r="A160" t="s">
        <v>21</v>
      </c>
      <c r="B160" t="s">
        <v>24</v>
      </c>
      <c r="C160">
        <v>6</v>
      </c>
      <c r="D160" s="6">
        <v>900</v>
      </c>
    </row>
    <row r="161" spans="1:4" x14ac:dyDescent="0.2">
      <c r="A161" t="s">
        <v>22</v>
      </c>
      <c r="B161" t="s">
        <v>24</v>
      </c>
      <c r="C161">
        <v>6</v>
      </c>
      <c r="D161" s="6">
        <v>1296</v>
      </c>
    </row>
    <row r="167" spans="1:4" x14ac:dyDescent="0.2">
      <c r="D167" s="6"/>
    </row>
    <row r="172" spans="1:4" x14ac:dyDescent="0.2">
      <c r="D172" s="6"/>
    </row>
    <row r="173" spans="1:4" x14ac:dyDescent="0.2">
      <c r="A173" t="s">
        <v>3</v>
      </c>
      <c r="B173" t="s">
        <v>24</v>
      </c>
      <c r="C173">
        <v>7</v>
      </c>
      <c r="D173" s="5">
        <f>8436/2</f>
        <v>4218</v>
      </c>
    </row>
    <row r="174" spans="1:4" x14ac:dyDescent="0.2">
      <c r="A174" t="s">
        <v>4</v>
      </c>
      <c r="B174" t="s">
        <v>24</v>
      </c>
      <c r="C174">
        <v>7</v>
      </c>
      <c r="D174">
        <v>335</v>
      </c>
    </row>
    <row r="175" spans="1:4" x14ac:dyDescent="0.2">
      <c r="A175" t="s">
        <v>5</v>
      </c>
      <c r="B175" t="s">
        <v>24</v>
      </c>
      <c r="C175">
        <v>7</v>
      </c>
      <c r="D175" s="6">
        <v>1308</v>
      </c>
    </row>
    <row r="176" spans="1:4" x14ac:dyDescent="0.2">
      <c r="A176" t="s">
        <v>6</v>
      </c>
      <c r="B176" t="s">
        <v>24</v>
      </c>
      <c r="C176">
        <v>7</v>
      </c>
      <c r="D176" s="6">
        <f>864+133+57</f>
        <v>1054</v>
      </c>
    </row>
    <row r="177" spans="1:4" x14ac:dyDescent="0.2">
      <c r="A177" t="s">
        <v>7</v>
      </c>
      <c r="B177" t="s">
        <v>24</v>
      </c>
      <c r="C177">
        <v>7</v>
      </c>
      <c r="D177">
        <v>1864</v>
      </c>
    </row>
    <row r="178" spans="1:4" x14ac:dyDescent="0.2">
      <c r="A178" t="s">
        <v>8</v>
      </c>
      <c r="B178" t="s">
        <v>24</v>
      </c>
      <c r="C178">
        <v>7</v>
      </c>
      <c r="D178" s="6">
        <v>1172</v>
      </c>
    </row>
    <row r="179" spans="1:4" x14ac:dyDescent="0.2">
      <c r="A179" t="s">
        <v>9</v>
      </c>
      <c r="B179" t="s">
        <v>24</v>
      </c>
      <c r="C179">
        <v>7</v>
      </c>
      <c r="D179" s="6">
        <v>5294</v>
      </c>
    </row>
    <row r="180" spans="1:4" x14ac:dyDescent="0.2">
      <c r="A180" t="s">
        <v>12</v>
      </c>
      <c r="B180" t="s">
        <v>24</v>
      </c>
      <c r="C180">
        <v>7</v>
      </c>
      <c r="D180" s="6">
        <f>3329+3073</f>
        <v>6402</v>
      </c>
    </row>
    <row r="181" spans="1:4" x14ac:dyDescent="0.2">
      <c r="A181" t="s">
        <v>14</v>
      </c>
      <c r="B181" t="s">
        <v>24</v>
      </c>
      <c r="C181">
        <v>7</v>
      </c>
      <c r="D181">
        <v>2455</v>
      </c>
    </row>
    <row r="182" spans="1:4" x14ac:dyDescent="0.2">
      <c r="A182" t="s">
        <v>15</v>
      </c>
      <c r="B182" t="s">
        <v>24</v>
      </c>
      <c r="C182">
        <v>7</v>
      </c>
      <c r="D182">
        <v>2744</v>
      </c>
    </row>
    <row r="183" spans="1:4" x14ac:dyDescent="0.2">
      <c r="A183" t="s">
        <v>16</v>
      </c>
      <c r="B183" t="s">
        <v>24</v>
      </c>
      <c r="C183">
        <v>7</v>
      </c>
      <c r="D183">
        <v>699</v>
      </c>
    </row>
    <row r="184" spans="1:4" x14ac:dyDescent="0.2">
      <c r="A184" t="s">
        <v>17</v>
      </c>
      <c r="B184" t="s">
        <v>24</v>
      </c>
      <c r="C184">
        <v>7</v>
      </c>
      <c r="D184">
        <v>281</v>
      </c>
    </row>
    <row r="185" spans="1:4" x14ac:dyDescent="0.2">
      <c r="A185" t="s">
        <v>18</v>
      </c>
      <c r="B185" t="s">
        <v>24</v>
      </c>
      <c r="C185">
        <v>7</v>
      </c>
      <c r="D185">
        <v>28</v>
      </c>
    </row>
    <row r="186" spans="1:4" x14ac:dyDescent="0.2">
      <c r="A186" t="s">
        <v>19</v>
      </c>
      <c r="B186" t="s">
        <v>24</v>
      </c>
      <c r="C186">
        <v>7</v>
      </c>
      <c r="D186" s="6">
        <v>292</v>
      </c>
    </row>
    <row r="187" spans="1:4" x14ac:dyDescent="0.2">
      <c r="A187" t="s">
        <v>20</v>
      </c>
      <c r="B187" t="s">
        <v>24</v>
      </c>
      <c r="C187">
        <v>7</v>
      </c>
      <c r="D187" s="6">
        <f>4753+4015</f>
        <v>8768</v>
      </c>
    </row>
    <row r="188" spans="1:4" x14ac:dyDescent="0.2">
      <c r="A188" t="s">
        <v>21</v>
      </c>
      <c r="B188" t="s">
        <v>24</v>
      </c>
      <c r="C188">
        <v>7</v>
      </c>
      <c r="D188" s="6">
        <v>900</v>
      </c>
    </row>
    <row r="189" spans="1:4" x14ac:dyDescent="0.2">
      <c r="A189" t="s">
        <v>22</v>
      </c>
      <c r="B189" t="s">
        <v>24</v>
      </c>
      <c r="C189">
        <v>7</v>
      </c>
      <c r="D189" s="6">
        <v>1296</v>
      </c>
    </row>
    <row r="195" spans="1:4" x14ac:dyDescent="0.2">
      <c r="D195" s="6"/>
    </row>
    <row r="200" spans="1:4" x14ac:dyDescent="0.2">
      <c r="D200" s="6"/>
    </row>
    <row r="201" spans="1:4" x14ac:dyDescent="0.2">
      <c r="A201" t="s">
        <v>3</v>
      </c>
      <c r="B201" t="s">
        <v>24</v>
      </c>
      <c r="C201">
        <v>8</v>
      </c>
      <c r="D201" s="5">
        <f>8436/2</f>
        <v>4218</v>
      </c>
    </row>
    <row r="202" spans="1:4" x14ac:dyDescent="0.2">
      <c r="A202" t="s">
        <v>4</v>
      </c>
      <c r="B202" t="s">
        <v>24</v>
      </c>
      <c r="C202">
        <v>8</v>
      </c>
      <c r="D202">
        <v>335</v>
      </c>
    </row>
    <row r="203" spans="1:4" x14ac:dyDescent="0.2">
      <c r="A203" t="s">
        <v>5</v>
      </c>
      <c r="B203" t="s">
        <v>24</v>
      </c>
      <c r="C203">
        <v>8</v>
      </c>
      <c r="D203" s="6">
        <v>1308</v>
      </c>
    </row>
    <row r="204" spans="1:4" x14ac:dyDescent="0.2">
      <c r="A204" t="s">
        <v>6</v>
      </c>
      <c r="B204" t="s">
        <v>24</v>
      </c>
      <c r="C204">
        <v>8</v>
      </c>
      <c r="D204" s="6">
        <f>864+133+57</f>
        <v>1054</v>
      </c>
    </row>
    <row r="205" spans="1:4" x14ac:dyDescent="0.2">
      <c r="A205" t="s">
        <v>7</v>
      </c>
      <c r="B205" t="s">
        <v>24</v>
      </c>
      <c r="C205">
        <v>8</v>
      </c>
      <c r="D205">
        <v>1864</v>
      </c>
    </row>
    <row r="206" spans="1:4" x14ac:dyDescent="0.2">
      <c r="A206" t="s">
        <v>8</v>
      </c>
      <c r="B206" t="s">
        <v>24</v>
      </c>
      <c r="C206">
        <v>8</v>
      </c>
      <c r="D206" s="6">
        <v>1172</v>
      </c>
    </row>
    <row r="207" spans="1:4" x14ac:dyDescent="0.2">
      <c r="A207" t="s">
        <v>9</v>
      </c>
      <c r="B207" t="s">
        <v>24</v>
      </c>
      <c r="C207">
        <v>8</v>
      </c>
      <c r="D207" s="6">
        <v>5294</v>
      </c>
    </row>
    <row r="208" spans="1:4" x14ac:dyDescent="0.2">
      <c r="A208" t="s">
        <v>12</v>
      </c>
      <c r="B208" t="s">
        <v>24</v>
      </c>
      <c r="C208">
        <v>8</v>
      </c>
      <c r="D208" s="6">
        <f>3329+3073</f>
        <v>6402</v>
      </c>
    </row>
    <row r="209" spans="1:4" x14ac:dyDescent="0.2">
      <c r="A209" t="s">
        <v>14</v>
      </c>
      <c r="B209" t="s">
        <v>24</v>
      </c>
      <c r="C209">
        <v>8</v>
      </c>
      <c r="D209">
        <v>2455</v>
      </c>
    </row>
    <row r="210" spans="1:4" x14ac:dyDescent="0.2">
      <c r="A210" t="s">
        <v>15</v>
      </c>
      <c r="B210" t="s">
        <v>24</v>
      </c>
      <c r="C210">
        <v>8</v>
      </c>
      <c r="D210">
        <v>2744</v>
      </c>
    </row>
    <row r="211" spans="1:4" x14ac:dyDescent="0.2">
      <c r="A211" t="s">
        <v>16</v>
      </c>
      <c r="B211" t="s">
        <v>24</v>
      </c>
      <c r="C211">
        <v>8</v>
      </c>
      <c r="D211">
        <v>699</v>
      </c>
    </row>
    <row r="212" spans="1:4" x14ac:dyDescent="0.2">
      <c r="A212" t="s">
        <v>17</v>
      </c>
      <c r="B212" t="s">
        <v>24</v>
      </c>
      <c r="C212">
        <v>8</v>
      </c>
      <c r="D212">
        <v>281</v>
      </c>
    </row>
    <row r="213" spans="1:4" x14ac:dyDescent="0.2">
      <c r="A213" t="s">
        <v>18</v>
      </c>
      <c r="B213" t="s">
        <v>24</v>
      </c>
      <c r="C213">
        <v>8</v>
      </c>
      <c r="D213">
        <v>28</v>
      </c>
    </row>
    <row r="214" spans="1:4" x14ac:dyDescent="0.2">
      <c r="A214" t="s">
        <v>19</v>
      </c>
      <c r="B214" t="s">
        <v>24</v>
      </c>
      <c r="C214">
        <v>8</v>
      </c>
      <c r="D214" s="6">
        <v>292</v>
      </c>
    </row>
    <row r="215" spans="1:4" x14ac:dyDescent="0.2">
      <c r="A215" t="s">
        <v>20</v>
      </c>
      <c r="B215" t="s">
        <v>24</v>
      </c>
      <c r="C215">
        <v>8</v>
      </c>
      <c r="D215" s="6">
        <f>4753+4015</f>
        <v>8768</v>
      </c>
    </row>
    <row r="216" spans="1:4" x14ac:dyDescent="0.2">
      <c r="A216" t="s">
        <v>21</v>
      </c>
      <c r="B216" t="s">
        <v>24</v>
      </c>
      <c r="C216">
        <v>8</v>
      </c>
      <c r="D216" s="6">
        <v>900</v>
      </c>
    </row>
    <row r="217" spans="1:4" x14ac:dyDescent="0.2">
      <c r="A217" t="s">
        <v>22</v>
      </c>
      <c r="B217" t="s">
        <v>24</v>
      </c>
      <c r="C217">
        <v>8</v>
      </c>
      <c r="D217" s="6">
        <v>1296</v>
      </c>
    </row>
    <row r="223" spans="1:4" x14ac:dyDescent="0.2">
      <c r="D223" s="6"/>
    </row>
    <row r="228" spans="4:4" x14ac:dyDescent="0.2">
      <c r="D228" s="6"/>
    </row>
    <row r="229" spans="4:4" x14ac:dyDescent="0.2">
      <c r="D229" s="6"/>
    </row>
    <row r="230" spans="4:4" x14ac:dyDescent="0.2">
      <c r="D230" s="6"/>
    </row>
    <row r="231" spans="4:4" x14ac:dyDescent="0.2">
      <c r="D231" s="6"/>
    </row>
    <row r="232" spans="4:4" x14ac:dyDescent="0.2">
      <c r="D232" s="6"/>
    </row>
    <row r="233" spans="4:4" x14ac:dyDescent="0.2">
      <c r="D233" s="6"/>
    </row>
    <row r="234" spans="4:4" x14ac:dyDescent="0.2">
      <c r="D234" s="6"/>
    </row>
    <row r="235" spans="4:4" x14ac:dyDescent="0.2">
      <c r="D235" s="6"/>
    </row>
  </sheetData>
  <autoFilter ref="A1:D235" xr:uid="{2982C49F-4B61-4A3F-B91B-F6CCEDDF4861}">
    <sortState xmlns:xlrd2="http://schemas.microsoft.com/office/spreadsheetml/2017/richdata2" ref="A20:D217">
      <sortCondition ref="A1:A2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E54D-986A-4C81-ACA2-CB077626FAD0}">
  <dimension ref="A1:C19"/>
  <sheetViews>
    <sheetView workbookViewId="0"/>
  </sheetViews>
  <sheetFormatPr baseColWidth="10" defaultRowHeight="15" x14ac:dyDescent="0.2"/>
  <cols>
    <col min="1" max="1" width="46.33203125" bestFit="1" customWidth="1"/>
    <col min="2" max="2" width="5.83203125" bestFit="1" customWidth="1"/>
    <col min="3" max="3" width="27" bestFit="1" customWidth="1"/>
  </cols>
  <sheetData>
    <row r="1" spans="1:3" x14ac:dyDescent="0.2">
      <c r="A1" t="s">
        <v>38</v>
      </c>
    </row>
    <row r="2" spans="1:3" x14ac:dyDescent="0.2">
      <c r="A2" t="s">
        <v>47</v>
      </c>
    </row>
    <row r="3" spans="1:3" x14ac:dyDescent="0.2">
      <c r="A3" t="s">
        <v>2</v>
      </c>
      <c r="B3" t="s">
        <v>0</v>
      </c>
      <c r="C3" t="s">
        <v>37</v>
      </c>
    </row>
    <row r="4" spans="1:3" x14ac:dyDescent="0.2">
      <c r="A4" t="s">
        <v>24</v>
      </c>
      <c r="B4">
        <v>1</v>
      </c>
      <c r="C4">
        <v>1000</v>
      </c>
    </row>
    <row r="5" spans="1:3" x14ac:dyDescent="0.2">
      <c r="A5" t="s">
        <v>24</v>
      </c>
      <c r="B5">
        <v>2</v>
      </c>
      <c r="C5">
        <v>1000</v>
      </c>
    </row>
    <row r="6" spans="1:3" x14ac:dyDescent="0.2">
      <c r="A6" t="s">
        <v>24</v>
      </c>
      <c r="B6">
        <v>3</v>
      </c>
      <c r="C6">
        <v>1000</v>
      </c>
    </row>
    <row r="7" spans="1:3" x14ac:dyDescent="0.2">
      <c r="A7" t="s">
        <v>24</v>
      </c>
      <c r="B7">
        <v>4</v>
      </c>
      <c r="C7">
        <v>1000</v>
      </c>
    </row>
    <row r="8" spans="1:3" x14ac:dyDescent="0.2">
      <c r="A8" t="s">
        <v>24</v>
      </c>
      <c r="B8">
        <v>5</v>
      </c>
      <c r="C8">
        <v>1000</v>
      </c>
    </row>
    <row r="9" spans="1:3" x14ac:dyDescent="0.2">
      <c r="A9" t="s">
        <v>24</v>
      </c>
      <c r="B9">
        <v>6</v>
      </c>
      <c r="C9">
        <v>1000</v>
      </c>
    </row>
    <row r="10" spans="1:3" x14ac:dyDescent="0.2">
      <c r="A10" t="s">
        <v>24</v>
      </c>
      <c r="B10">
        <v>7</v>
      </c>
      <c r="C10">
        <v>1000</v>
      </c>
    </row>
    <row r="11" spans="1:3" x14ac:dyDescent="0.2">
      <c r="A11" t="s">
        <v>24</v>
      </c>
      <c r="B11">
        <v>8</v>
      </c>
      <c r="C11">
        <v>1000</v>
      </c>
    </row>
    <row r="12" spans="1:3" x14ac:dyDescent="0.2">
      <c r="A12" t="s">
        <v>1</v>
      </c>
      <c r="B12">
        <v>1</v>
      </c>
      <c r="C12">
        <v>0</v>
      </c>
    </row>
    <row r="13" spans="1:3" x14ac:dyDescent="0.2">
      <c r="A13" t="s">
        <v>1</v>
      </c>
      <c r="B13">
        <v>2</v>
      </c>
      <c r="C13">
        <v>0</v>
      </c>
    </row>
    <row r="14" spans="1:3" x14ac:dyDescent="0.2">
      <c r="A14" t="s">
        <v>1</v>
      </c>
      <c r="B14">
        <v>3</v>
      </c>
      <c r="C14">
        <v>0</v>
      </c>
    </row>
    <row r="15" spans="1:3" x14ac:dyDescent="0.2">
      <c r="A15" t="s">
        <v>1</v>
      </c>
      <c r="B15">
        <v>4</v>
      </c>
      <c r="C15">
        <v>0</v>
      </c>
    </row>
    <row r="16" spans="1:3" x14ac:dyDescent="0.2">
      <c r="A16" t="s">
        <v>1</v>
      </c>
      <c r="B16">
        <v>5</v>
      </c>
      <c r="C16">
        <v>0</v>
      </c>
    </row>
    <row r="17" spans="1:3" x14ac:dyDescent="0.2">
      <c r="A17" t="s">
        <v>1</v>
      </c>
      <c r="B17">
        <v>6</v>
      </c>
      <c r="C17">
        <v>0</v>
      </c>
    </row>
    <row r="18" spans="1:3" x14ac:dyDescent="0.2">
      <c r="A18" t="s">
        <v>1</v>
      </c>
      <c r="B18">
        <v>7</v>
      </c>
      <c r="C18">
        <v>0</v>
      </c>
    </row>
    <row r="19" spans="1:3" x14ac:dyDescent="0.2">
      <c r="A19" t="s">
        <v>1</v>
      </c>
      <c r="B19">
        <v>8</v>
      </c>
      <c r="C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F35F-5FDE-42BE-A5D3-944405D758CD}">
  <dimension ref="A1:C19"/>
  <sheetViews>
    <sheetView workbookViewId="0"/>
  </sheetViews>
  <sheetFormatPr baseColWidth="10" defaultRowHeight="15" x14ac:dyDescent="0.2"/>
  <cols>
    <col min="1" max="1" width="49.6640625" bestFit="1" customWidth="1"/>
    <col min="3" max="3" width="28.5" bestFit="1" customWidth="1"/>
  </cols>
  <sheetData>
    <row r="1" spans="1:3" x14ac:dyDescent="0.2">
      <c r="A1" t="s">
        <v>38</v>
      </c>
    </row>
    <row r="2" spans="1:3" x14ac:dyDescent="0.2">
      <c r="A2" t="s">
        <v>48</v>
      </c>
    </row>
    <row r="3" spans="1:3" x14ac:dyDescent="0.2">
      <c r="A3" t="s">
        <v>2</v>
      </c>
      <c r="B3" t="s">
        <v>0</v>
      </c>
      <c r="C3" t="s">
        <v>39</v>
      </c>
    </row>
    <row r="4" spans="1:3" x14ac:dyDescent="0.2">
      <c r="A4" t="s">
        <v>24</v>
      </c>
      <c r="B4">
        <v>1</v>
      </c>
      <c r="C4">
        <v>0</v>
      </c>
    </row>
    <row r="5" spans="1:3" x14ac:dyDescent="0.2">
      <c r="A5" t="s">
        <v>24</v>
      </c>
      <c r="B5">
        <v>2</v>
      </c>
      <c r="C5">
        <v>0</v>
      </c>
    </row>
    <row r="6" spans="1:3" x14ac:dyDescent="0.2">
      <c r="A6" t="s">
        <v>24</v>
      </c>
      <c r="B6">
        <v>3</v>
      </c>
      <c r="C6">
        <v>0</v>
      </c>
    </row>
    <row r="7" spans="1:3" x14ac:dyDescent="0.2">
      <c r="A7" t="s">
        <v>24</v>
      </c>
      <c r="B7">
        <v>4</v>
      </c>
      <c r="C7">
        <v>0</v>
      </c>
    </row>
    <row r="8" spans="1:3" x14ac:dyDescent="0.2">
      <c r="A8" t="s">
        <v>24</v>
      </c>
      <c r="B8">
        <v>5</v>
      </c>
      <c r="C8">
        <v>0</v>
      </c>
    </row>
    <row r="9" spans="1:3" x14ac:dyDescent="0.2">
      <c r="A9" t="s">
        <v>24</v>
      </c>
      <c r="B9">
        <v>6</v>
      </c>
      <c r="C9">
        <v>0</v>
      </c>
    </row>
    <row r="10" spans="1:3" x14ac:dyDescent="0.2">
      <c r="A10" t="s">
        <v>24</v>
      </c>
      <c r="B10">
        <v>7</v>
      </c>
      <c r="C10">
        <v>0</v>
      </c>
    </row>
    <row r="11" spans="1:3" x14ac:dyDescent="0.2">
      <c r="A11" t="s">
        <v>24</v>
      </c>
      <c r="B11">
        <v>8</v>
      </c>
      <c r="C11">
        <v>0</v>
      </c>
    </row>
    <row r="12" spans="1:3" x14ac:dyDescent="0.2">
      <c r="A12" t="s">
        <v>1</v>
      </c>
      <c r="B12">
        <v>1</v>
      </c>
      <c r="C12">
        <v>6.7049808429118762</v>
      </c>
    </row>
    <row r="13" spans="1:3" x14ac:dyDescent="0.2">
      <c r="A13" t="s">
        <v>1</v>
      </c>
      <c r="B13">
        <v>2</v>
      </c>
      <c r="C13">
        <v>5.8201058201058196</v>
      </c>
    </row>
    <row r="14" spans="1:3" x14ac:dyDescent="0.2">
      <c r="A14" t="s">
        <v>1</v>
      </c>
      <c r="B14">
        <v>3</v>
      </c>
      <c r="C14">
        <v>5.1587301587301591</v>
      </c>
    </row>
    <row r="15" spans="1:3" x14ac:dyDescent="0.2">
      <c r="A15" t="s">
        <v>1</v>
      </c>
      <c r="B15">
        <v>4</v>
      </c>
      <c r="C15">
        <v>5.1587301587301591</v>
      </c>
    </row>
    <row r="16" spans="1:3" x14ac:dyDescent="0.2">
      <c r="A16" t="s">
        <v>1</v>
      </c>
      <c r="B16">
        <v>5</v>
      </c>
      <c r="C16">
        <v>5.1587301587301591</v>
      </c>
    </row>
    <row r="17" spans="1:3" x14ac:dyDescent="0.2">
      <c r="A17" t="s">
        <v>1</v>
      </c>
      <c r="B17">
        <v>6</v>
      </c>
      <c r="C17">
        <v>5.1587301587301591</v>
      </c>
    </row>
    <row r="18" spans="1:3" x14ac:dyDescent="0.2">
      <c r="A18" t="s">
        <v>1</v>
      </c>
      <c r="B18">
        <v>7</v>
      </c>
      <c r="C18">
        <v>5.1587301587301591</v>
      </c>
    </row>
    <row r="19" spans="1:3" x14ac:dyDescent="0.2">
      <c r="A19" t="s">
        <v>1</v>
      </c>
      <c r="B19">
        <v>8</v>
      </c>
      <c r="C19">
        <v>5.1587301587301591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"/>
  <sheetViews>
    <sheetView workbookViewId="0">
      <selection activeCell="G70" sqref="G70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20.1640625" customWidth="1"/>
  </cols>
  <sheetData>
    <row r="1" spans="1:4" x14ac:dyDescent="0.2">
      <c r="A1" t="s">
        <v>43</v>
      </c>
    </row>
    <row r="2" spans="1:4" x14ac:dyDescent="0.2">
      <c r="A2" t="s">
        <v>44</v>
      </c>
    </row>
    <row r="3" spans="1:4" x14ac:dyDescent="0.2">
      <c r="A3" t="s">
        <v>23</v>
      </c>
      <c r="B3" t="s">
        <v>2</v>
      </c>
      <c r="C3" t="s">
        <v>0</v>
      </c>
      <c r="D3" t="s">
        <v>26</v>
      </c>
    </row>
    <row r="4" spans="1:4" x14ac:dyDescent="0.2">
      <c r="A4" t="s">
        <v>3</v>
      </c>
      <c r="B4" t="s">
        <v>24</v>
      </c>
      <c r="C4">
        <v>1</v>
      </c>
      <c r="D4" s="1">
        <v>500000</v>
      </c>
    </row>
    <row r="5" spans="1:4" x14ac:dyDescent="0.2">
      <c r="A5" t="s">
        <v>4</v>
      </c>
      <c r="B5" t="s">
        <v>24</v>
      </c>
      <c r="C5">
        <v>1</v>
      </c>
      <c r="D5" s="1">
        <v>500000</v>
      </c>
    </row>
    <row r="6" spans="1:4" x14ac:dyDescent="0.2">
      <c r="A6" t="s">
        <v>5</v>
      </c>
      <c r="B6" t="s">
        <v>24</v>
      </c>
      <c r="C6">
        <v>1</v>
      </c>
      <c r="D6" s="1">
        <v>500000</v>
      </c>
    </row>
    <row r="7" spans="1:4" x14ac:dyDescent="0.2">
      <c r="A7" t="s">
        <v>6</v>
      </c>
      <c r="B7" t="s">
        <v>24</v>
      </c>
      <c r="C7">
        <v>1</v>
      </c>
      <c r="D7" s="1">
        <v>500000</v>
      </c>
    </row>
    <row r="8" spans="1:4" x14ac:dyDescent="0.2">
      <c r="A8" t="s">
        <v>7</v>
      </c>
      <c r="B8" t="s">
        <v>24</v>
      </c>
      <c r="C8">
        <v>1</v>
      </c>
      <c r="D8" s="1">
        <v>500000</v>
      </c>
    </row>
    <row r="9" spans="1:4" x14ac:dyDescent="0.2">
      <c r="A9" t="s">
        <v>8</v>
      </c>
      <c r="B9" t="s">
        <v>24</v>
      </c>
      <c r="C9">
        <v>1</v>
      </c>
      <c r="D9" s="1">
        <v>500000</v>
      </c>
    </row>
    <row r="10" spans="1:4" x14ac:dyDescent="0.2">
      <c r="A10" t="s">
        <v>9</v>
      </c>
      <c r="B10" t="s">
        <v>24</v>
      </c>
      <c r="C10">
        <v>1</v>
      </c>
      <c r="D10" s="1">
        <v>500000</v>
      </c>
    </row>
    <row r="11" spans="1:4" x14ac:dyDescent="0.2">
      <c r="A11" t="s">
        <v>12</v>
      </c>
      <c r="B11" t="s">
        <v>24</v>
      </c>
      <c r="C11">
        <v>1</v>
      </c>
      <c r="D11" s="1">
        <v>500000</v>
      </c>
    </row>
    <row r="12" spans="1:4" x14ac:dyDescent="0.2">
      <c r="A12" t="s">
        <v>13</v>
      </c>
      <c r="B12" t="s">
        <v>24</v>
      </c>
      <c r="C12">
        <v>1</v>
      </c>
      <c r="D12" s="1">
        <v>500000</v>
      </c>
    </row>
    <row r="13" spans="1:4" x14ac:dyDescent="0.2">
      <c r="A13" t="s">
        <v>14</v>
      </c>
      <c r="B13" t="s">
        <v>24</v>
      </c>
      <c r="C13">
        <v>1</v>
      </c>
      <c r="D13" s="1">
        <v>500000</v>
      </c>
    </row>
    <row r="14" spans="1:4" x14ac:dyDescent="0.2">
      <c r="A14" t="s">
        <v>15</v>
      </c>
      <c r="B14" t="s">
        <v>24</v>
      </c>
      <c r="C14">
        <v>1</v>
      </c>
      <c r="D14" s="1">
        <v>500000</v>
      </c>
    </row>
    <row r="15" spans="1:4" x14ac:dyDescent="0.2">
      <c r="A15" t="s">
        <v>16</v>
      </c>
      <c r="B15" t="s">
        <v>24</v>
      </c>
      <c r="C15">
        <v>1</v>
      </c>
      <c r="D15" s="1">
        <v>500000</v>
      </c>
    </row>
    <row r="16" spans="1:4" x14ac:dyDescent="0.2">
      <c r="A16" t="s">
        <v>17</v>
      </c>
      <c r="B16" t="s">
        <v>24</v>
      </c>
      <c r="C16">
        <v>1</v>
      </c>
      <c r="D16" s="1">
        <v>500000</v>
      </c>
    </row>
    <row r="17" spans="1:4" x14ac:dyDescent="0.2">
      <c r="A17" t="s">
        <v>18</v>
      </c>
      <c r="B17" t="s">
        <v>24</v>
      </c>
      <c r="C17">
        <v>1</v>
      </c>
      <c r="D17" s="1">
        <v>500000</v>
      </c>
    </row>
    <row r="18" spans="1:4" x14ac:dyDescent="0.2">
      <c r="A18" t="s">
        <v>19</v>
      </c>
      <c r="B18" t="s">
        <v>24</v>
      </c>
      <c r="C18">
        <v>1</v>
      </c>
      <c r="D18" s="1">
        <v>500000</v>
      </c>
    </row>
    <row r="19" spans="1:4" x14ac:dyDescent="0.2">
      <c r="A19" t="s">
        <v>20</v>
      </c>
      <c r="B19" t="s">
        <v>24</v>
      </c>
      <c r="C19">
        <v>1</v>
      </c>
      <c r="D19" s="1">
        <v>500000</v>
      </c>
    </row>
    <row r="20" spans="1:4" x14ac:dyDescent="0.2">
      <c r="A20" t="s">
        <v>21</v>
      </c>
      <c r="B20" t="s">
        <v>24</v>
      </c>
      <c r="C20">
        <v>1</v>
      </c>
      <c r="D20" s="1">
        <v>500000</v>
      </c>
    </row>
    <row r="21" spans="1:4" x14ac:dyDescent="0.2">
      <c r="A21" t="s">
        <v>22</v>
      </c>
      <c r="B21" t="s">
        <v>24</v>
      </c>
      <c r="C21">
        <v>1</v>
      </c>
      <c r="D21" s="1">
        <v>500000</v>
      </c>
    </row>
    <row r="22" spans="1:4" x14ac:dyDescent="0.2">
      <c r="D22" s="1"/>
    </row>
    <row r="23" spans="1:4" x14ac:dyDescent="0.2">
      <c r="D23" s="1"/>
    </row>
    <row r="24" spans="1:4" x14ac:dyDescent="0.2">
      <c r="D24" s="1"/>
    </row>
    <row r="25" spans="1:4" x14ac:dyDescent="0.2">
      <c r="D25" s="1"/>
    </row>
    <row r="26" spans="1:4" x14ac:dyDescent="0.2">
      <c r="D26" s="1"/>
    </row>
    <row r="27" spans="1:4" x14ac:dyDescent="0.2">
      <c r="D27" s="1"/>
    </row>
    <row r="28" spans="1:4" x14ac:dyDescent="0.2">
      <c r="D28" s="1"/>
    </row>
    <row r="29" spans="1:4" x14ac:dyDescent="0.2">
      <c r="D29" s="1"/>
    </row>
    <row r="30" spans="1:4" x14ac:dyDescent="0.2">
      <c r="D30" s="1"/>
    </row>
    <row r="31" spans="1:4" x14ac:dyDescent="0.2">
      <c r="D31" s="1"/>
    </row>
    <row r="32" spans="1:4" x14ac:dyDescent="0.2">
      <c r="D32" s="1"/>
    </row>
    <row r="33" spans="1:4" x14ac:dyDescent="0.2">
      <c r="D33" s="1"/>
    </row>
    <row r="34" spans="1:4" x14ac:dyDescent="0.2">
      <c r="A34" t="s">
        <v>3</v>
      </c>
      <c r="B34" t="s">
        <v>1</v>
      </c>
      <c r="C34">
        <v>1</v>
      </c>
      <c r="D34" s="1">
        <v>500000</v>
      </c>
    </row>
    <row r="35" spans="1:4" x14ac:dyDescent="0.2">
      <c r="A35" t="s">
        <v>4</v>
      </c>
      <c r="B35" t="s">
        <v>1</v>
      </c>
      <c r="C35">
        <v>1</v>
      </c>
      <c r="D35" s="1">
        <v>500000</v>
      </c>
    </row>
    <row r="36" spans="1:4" x14ac:dyDescent="0.2">
      <c r="A36" t="s">
        <v>5</v>
      </c>
      <c r="B36" t="s">
        <v>1</v>
      </c>
      <c r="C36">
        <v>1</v>
      </c>
      <c r="D36" s="1">
        <v>500000</v>
      </c>
    </row>
    <row r="37" spans="1:4" x14ac:dyDescent="0.2">
      <c r="A37" t="s">
        <v>6</v>
      </c>
      <c r="B37" t="s">
        <v>1</v>
      </c>
      <c r="C37">
        <v>1</v>
      </c>
      <c r="D37" s="1">
        <v>500000</v>
      </c>
    </row>
    <row r="38" spans="1:4" x14ac:dyDescent="0.2">
      <c r="A38" t="s">
        <v>7</v>
      </c>
      <c r="B38" t="s">
        <v>1</v>
      </c>
      <c r="C38">
        <v>1</v>
      </c>
      <c r="D38" s="1">
        <v>500000</v>
      </c>
    </row>
    <row r="39" spans="1:4" x14ac:dyDescent="0.2">
      <c r="A39" t="s">
        <v>8</v>
      </c>
      <c r="B39" t="s">
        <v>1</v>
      </c>
      <c r="C39">
        <v>1</v>
      </c>
      <c r="D39" s="1">
        <v>500000</v>
      </c>
    </row>
    <row r="40" spans="1:4" x14ac:dyDescent="0.2">
      <c r="A40" t="s">
        <v>9</v>
      </c>
      <c r="B40" t="s">
        <v>1</v>
      </c>
      <c r="C40">
        <v>1</v>
      </c>
      <c r="D40" s="1">
        <v>500000</v>
      </c>
    </row>
    <row r="41" spans="1:4" x14ac:dyDescent="0.2">
      <c r="A41" t="s">
        <v>10</v>
      </c>
      <c r="B41" t="s">
        <v>1</v>
      </c>
      <c r="C41">
        <v>1</v>
      </c>
      <c r="D41" s="1">
        <v>500000</v>
      </c>
    </row>
    <row r="42" spans="1:4" x14ac:dyDescent="0.2">
      <c r="A42" t="s">
        <v>11</v>
      </c>
      <c r="B42" t="s">
        <v>1</v>
      </c>
      <c r="C42">
        <v>1</v>
      </c>
      <c r="D42" s="1">
        <v>500000</v>
      </c>
    </row>
    <row r="43" spans="1:4" x14ac:dyDescent="0.2">
      <c r="A43" t="s">
        <v>12</v>
      </c>
      <c r="B43" t="s">
        <v>1</v>
      </c>
      <c r="C43">
        <v>1</v>
      </c>
      <c r="D43" s="1">
        <v>500000</v>
      </c>
    </row>
    <row r="44" spans="1:4" x14ac:dyDescent="0.2">
      <c r="A44" t="s">
        <v>13</v>
      </c>
      <c r="B44" t="s">
        <v>1</v>
      </c>
      <c r="C44">
        <v>1</v>
      </c>
      <c r="D44" s="1">
        <v>500000</v>
      </c>
    </row>
    <row r="45" spans="1:4" x14ac:dyDescent="0.2">
      <c r="A45" t="s">
        <v>14</v>
      </c>
      <c r="B45" t="s">
        <v>1</v>
      </c>
      <c r="C45">
        <v>1</v>
      </c>
      <c r="D45" s="1">
        <v>500000</v>
      </c>
    </row>
    <row r="46" spans="1:4" x14ac:dyDescent="0.2">
      <c r="A46" t="s">
        <v>15</v>
      </c>
      <c r="B46" t="s">
        <v>1</v>
      </c>
      <c r="C46">
        <v>1</v>
      </c>
      <c r="D46" s="1">
        <v>500000</v>
      </c>
    </row>
    <row r="47" spans="1:4" x14ac:dyDescent="0.2">
      <c r="A47" t="s">
        <v>16</v>
      </c>
      <c r="B47" t="s">
        <v>1</v>
      </c>
      <c r="C47">
        <v>1</v>
      </c>
      <c r="D47" s="1">
        <v>500000</v>
      </c>
    </row>
    <row r="48" spans="1:4" x14ac:dyDescent="0.2">
      <c r="A48" t="s">
        <v>17</v>
      </c>
      <c r="B48" t="s">
        <v>1</v>
      </c>
      <c r="C48">
        <v>1</v>
      </c>
      <c r="D48" s="1">
        <v>500000</v>
      </c>
    </row>
    <row r="49" spans="1:4" x14ac:dyDescent="0.2">
      <c r="A49" t="s">
        <v>18</v>
      </c>
      <c r="B49" t="s">
        <v>1</v>
      </c>
      <c r="C49">
        <v>1</v>
      </c>
      <c r="D49" s="1">
        <v>500000</v>
      </c>
    </row>
    <row r="50" spans="1:4" x14ac:dyDescent="0.2">
      <c r="A50" t="s">
        <v>19</v>
      </c>
      <c r="B50" t="s">
        <v>1</v>
      </c>
      <c r="C50">
        <v>1</v>
      </c>
      <c r="D50" s="1">
        <v>500000</v>
      </c>
    </row>
    <row r="51" spans="1:4" x14ac:dyDescent="0.2">
      <c r="A51" t="s">
        <v>20</v>
      </c>
      <c r="B51" t="s">
        <v>1</v>
      </c>
      <c r="C51">
        <v>1</v>
      </c>
      <c r="D51" s="1">
        <v>500000</v>
      </c>
    </row>
    <row r="52" spans="1:4" x14ac:dyDescent="0.2">
      <c r="A52" t="s">
        <v>21</v>
      </c>
      <c r="B52" t="s">
        <v>1</v>
      </c>
      <c r="C52">
        <v>1</v>
      </c>
      <c r="D52" s="1">
        <v>500000</v>
      </c>
    </row>
    <row r="53" spans="1:4" x14ac:dyDescent="0.2">
      <c r="A53" t="s">
        <v>22</v>
      </c>
      <c r="B53" t="s">
        <v>1</v>
      </c>
      <c r="C53">
        <v>1</v>
      </c>
      <c r="D53" s="1">
        <v>500000</v>
      </c>
    </row>
    <row r="54" spans="1:4" x14ac:dyDescent="0.2">
      <c r="D54" s="1"/>
    </row>
    <row r="55" spans="1:4" x14ac:dyDescent="0.2">
      <c r="D55" s="1"/>
    </row>
    <row r="56" spans="1:4" x14ac:dyDescent="0.2">
      <c r="D56" s="1"/>
    </row>
    <row r="57" spans="1:4" x14ac:dyDescent="0.2">
      <c r="D57" s="1"/>
    </row>
    <row r="58" spans="1:4" x14ac:dyDescent="0.2">
      <c r="D58" s="1"/>
    </row>
    <row r="59" spans="1:4" x14ac:dyDescent="0.2">
      <c r="D59" s="1"/>
    </row>
    <row r="60" spans="1:4" x14ac:dyDescent="0.2">
      <c r="D60" s="1"/>
    </row>
    <row r="61" spans="1:4" x14ac:dyDescent="0.2">
      <c r="D61" s="1"/>
    </row>
    <row r="62" spans="1:4" x14ac:dyDescent="0.2">
      <c r="D62" s="1"/>
    </row>
    <row r="63" spans="1:4" x14ac:dyDescent="0.2">
      <c r="D63" s="1"/>
    </row>
    <row r="64" spans="1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</sheetData>
  <autoFilter ref="A1:D68" xr:uid="{4C630C44-AEB7-415B-8B95-E1BD435D2F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7"/>
  <sheetViews>
    <sheetView workbookViewId="0">
      <selection activeCell="C71" sqref="C71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3" max="3" width="30.33203125" customWidth="1"/>
  </cols>
  <sheetData>
    <row r="1" spans="1:3" x14ac:dyDescent="0.2">
      <c r="A1" t="s">
        <v>64</v>
      </c>
    </row>
    <row r="2" spans="1:3" x14ac:dyDescent="0.2">
      <c r="A2" t="s">
        <v>53</v>
      </c>
    </row>
    <row r="3" spans="1:3" x14ac:dyDescent="0.2">
      <c r="A3" s="3" t="s">
        <v>23</v>
      </c>
      <c r="B3" t="s">
        <v>2</v>
      </c>
      <c r="C3" t="s">
        <v>30</v>
      </c>
    </row>
    <row r="4" spans="1:3" x14ac:dyDescent="0.2">
      <c r="A4" t="s">
        <v>3</v>
      </c>
      <c r="B4" t="s">
        <v>24</v>
      </c>
      <c r="C4" s="1">
        <f>InitialPowerCapacity!D4*1.5</f>
        <v>6327</v>
      </c>
    </row>
    <row r="5" spans="1:3" x14ac:dyDescent="0.2">
      <c r="A5" t="s">
        <v>4</v>
      </c>
      <c r="B5" t="s">
        <v>24</v>
      </c>
      <c r="C5" s="1">
        <f>InitialPowerCapacity!D5*1.5</f>
        <v>502.5</v>
      </c>
    </row>
    <row r="6" spans="1:3" x14ac:dyDescent="0.2">
      <c r="A6" t="s">
        <v>5</v>
      </c>
      <c r="B6" t="s">
        <v>24</v>
      </c>
      <c r="C6" s="1">
        <f>InitialPowerCapacity!D6*1.5</f>
        <v>1962</v>
      </c>
    </row>
    <row r="7" spans="1:3" x14ac:dyDescent="0.2">
      <c r="A7" t="s">
        <v>6</v>
      </c>
      <c r="B7" t="s">
        <v>24</v>
      </c>
      <c r="C7" s="1">
        <f>InitialPowerCapacity!D7*1.5</f>
        <v>1581</v>
      </c>
    </row>
    <row r="8" spans="1:3" x14ac:dyDescent="0.2">
      <c r="A8" t="s">
        <v>7</v>
      </c>
      <c r="B8" t="s">
        <v>24</v>
      </c>
      <c r="C8" s="1">
        <f>InitialPowerCapacity!D8*1.5</f>
        <v>2796</v>
      </c>
    </row>
    <row r="9" spans="1:3" x14ac:dyDescent="0.2">
      <c r="A9" t="s">
        <v>8</v>
      </c>
      <c r="B9" t="s">
        <v>24</v>
      </c>
      <c r="C9" s="1">
        <f>InitialPowerCapacity!D9*1.5</f>
        <v>1758</v>
      </c>
    </row>
    <row r="10" spans="1:3" x14ac:dyDescent="0.2">
      <c r="A10" t="s">
        <v>9</v>
      </c>
      <c r="B10" t="s">
        <v>24</v>
      </c>
      <c r="C10" s="1">
        <f>InitialPowerCapacity!D10*1.5</f>
        <v>7941</v>
      </c>
    </row>
    <row r="11" spans="1:3" x14ac:dyDescent="0.2">
      <c r="A11" t="s">
        <v>12</v>
      </c>
      <c r="B11" t="s">
        <v>24</v>
      </c>
      <c r="C11" s="1">
        <f>InitialPowerCapacity!D11*1.5</f>
        <v>9603</v>
      </c>
    </row>
    <row r="12" spans="1:3" x14ac:dyDescent="0.2">
      <c r="A12" t="s">
        <v>14</v>
      </c>
      <c r="B12" t="s">
        <v>24</v>
      </c>
      <c r="C12" s="1">
        <f>InitialPowerCapacity!D12*1.5</f>
        <v>3682.5</v>
      </c>
    </row>
    <row r="13" spans="1:3" x14ac:dyDescent="0.2">
      <c r="A13" t="s">
        <v>15</v>
      </c>
      <c r="B13" t="s">
        <v>24</v>
      </c>
      <c r="C13" s="1">
        <f>InitialPowerCapacity!D13*1.5</f>
        <v>4116</v>
      </c>
    </row>
    <row r="14" spans="1:3" x14ac:dyDescent="0.2">
      <c r="A14" t="s">
        <v>16</v>
      </c>
      <c r="B14" t="s">
        <v>24</v>
      </c>
      <c r="C14" s="1">
        <f>InitialPowerCapacity!D14*1.5</f>
        <v>1048.5</v>
      </c>
    </row>
    <row r="15" spans="1:3" x14ac:dyDescent="0.2">
      <c r="A15" t="s">
        <v>17</v>
      </c>
      <c r="B15" t="s">
        <v>24</v>
      </c>
      <c r="C15" s="1">
        <f>InitialPowerCapacity!D15*1.5</f>
        <v>421.5</v>
      </c>
    </row>
    <row r="16" spans="1:3" x14ac:dyDescent="0.2">
      <c r="A16" t="s">
        <v>18</v>
      </c>
      <c r="B16" t="s">
        <v>24</v>
      </c>
      <c r="C16" s="1">
        <f>InitialPowerCapacity!D16*1.5</f>
        <v>42</v>
      </c>
    </row>
    <row r="17" spans="1:7" x14ac:dyDescent="0.2">
      <c r="A17" t="s">
        <v>19</v>
      </c>
      <c r="B17" t="s">
        <v>24</v>
      </c>
      <c r="C17" s="1">
        <f>InitialPowerCapacity!D17*1.5</f>
        <v>438</v>
      </c>
    </row>
    <row r="18" spans="1:7" x14ac:dyDescent="0.2">
      <c r="A18" t="s">
        <v>20</v>
      </c>
      <c r="B18" t="s">
        <v>24</v>
      </c>
      <c r="C18" s="1">
        <f>InitialPowerCapacity!D18*1.5</f>
        <v>13152</v>
      </c>
    </row>
    <row r="19" spans="1:7" x14ac:dyDescent="0.2">
      <c r="A19" t="s">
        <v>21</v>
      </c>
      <c r="B19" t="s">
        <v>24</v>
      </c>
      <c r="C19" s="1">
        <f>InitialPowerCapacity!D19*1.5</f>
        <v>1350</v>
      </c>
    </row>
    <row r="20" spans="1:7" x14ac:dyDescent="0.2">
      <c r="A20" t="s">
        <v>22</v>
      </c>
      <c r="B20" t="s">
        <v>24</v>
      </c>
      <c r="C20" s="1">
        <f>InitialPowerCapacity!D20*1.5</f>
        <v>1944</v>
      </c>
    </row>
    <row r="21" spans="1:7" x14ac:dyDescent="0.2">
      <c r="C21" s="1"/>
    </row>
    <row r="22" spans="1:7" x14ac:dyDescent="0.2">
      <c r="C22" s="1"/>
    </row>
    <row r="23" spans="1:7" x14ac:dyDescent="0.2">
      <c r="C23" s="1"/>
    </row>
    <row r="24" spans="1:7" x14ac:dyDescent="0.2">
      <c r="C24" s="1"/>
    </row>
    <row r="25" spans="1:7" x14ac:dyDescent="0.2">
      <c r="C25" s="1"/>
    </row>
    <row r="26" spans="1:7" x14ac:dyDescent="0.2">
      <c r="C26" s="1"/>
    </row>
    <row r="27" spans="1:7" x14ac:dyDescent="0.2">
      <c r="C27" s="1"/>
    </row>
    <row r="28" spans="1:7" x14ac:dyDescent="0.2">
      <c r="C28" s="1"/>
    </row>
    <row r="29" spans="1:7" x14ac:dyDescent="0.2">
      <c r="C29" s="1"/>
    </row>
    <row r="30" spans="1:7" x14ac:dyDescent="0.2">
      <c r="C30" s="1"/>
    </row>
    <row r="31" spans="1:7" x14ac:dyDescent="0.2">
      <c r="C31" s="1"/>
    </row>
    <row r="32" spans="1:7" x14ac:dyDescent="0.2">
      <c r="C32" s="1"/>
      <c r="G32" s="1"/>
    </row>
    <row r="33" spans="1:3" x14ac:dyDescent="0.2">
      <c r="A33" t="s">
        <v>3</v>
      </c>
      <c r="B33" t="s">
        <v>1</v>
      </c>
      <c r="C33" s="1">
        <v>20000000</v>
      </c>
    </row>
    <row r="34" spans="1:3" x14ac:dyDescent="0.2">
      <c r="A34" t="s">
        <v>4</v>
      </c>
      <c r="B34" t="s">
        <v>1</v>
      </c>
      <c r="C34" s="1">
        <v>20000000</v>
      </c>
    </row>
    <row r="35" spans="1:3" x14ac:dyDescent="0.2">
      <c r="A35" t="s">
        <v>5</v>
      </c>
      <c r="B35" t="s">
        <v>1</v>
      </c>
      <c r="C35" s="1">
        <v>20000000</v>
      </c>
    </row>
    <row r="36" spans="1:3" x14ac:dyDescent="0.2">
      <c r="A36" t="s">
        <v>6</v>
      </c>
      <c r="B36" t="s">
        <v>1</v>
      </c>
      <c r="C36" s="1">
        <v>20000000</v>
      </c>
    </row>
    <row r="37" spans="1:3" x14ac:dyDescent="0.2">
      <c r="A37" t="s">
        <v>7</v>
      </c>
      <c r="B37" t="s">
        <v>1</v>
      </c>
      <c r="C37" s="1">
        <v>20000000</v>
      </c>
    </row>
    <row r="38" spans="1:3" x14ac:dyDescent="0.2">
      <c r="A38" t="s">
        <v>8</v>
      </c>
      <c r="B38" t="s">
        <v>1</v>
      </c>
      <c r="C38" s="1">
        <v>20000000</v>
      </c>
    </row>
    <row r="39" spans="1:3" x14ac:dyDescent="0.2">
      <c r="A39" t="s">
        <v>9</v>
      </c>
      <c r="B39" t="s">
        <v>1</v>
      </c>
      <c r="C39" s="1">
        <v>20000000</v>
      </c>
    </row>
    <row r="40" spans="1:3" x14ac:dyDescent="0.2">
      <c r="A40" t="s">
        <v>10</v>
      </c>
      <c r="B40" t="s">
        <v>1</v>
      </c>
      <c r="C40" s="1">
        <v>20000000</v>
      </c>
    </row>
    <row r="41" spans="1:3" x14ac:dyDescent="0.2">
      <c r="A41" t="s">
        <v>11</v>
      </c>
      <c r="B41" t="s">
        <v>1</v>
      </c>
      <c r="C41" s="1">
        <v>20000000</v>
      </c>
    </row>
    <row r="42" spans="1:3" x14ac:dyDescent="0.2">
      <c r="A42" t="s">
        <v>12</v>
      </c>
      <c r="B42" t="s">
        <v>1</v>
      </c>
      <c r="C42" s="1">
        <v>20000000</v>
      </c>
    </row>
    <row r="43" spans="1:3" x14ac:dyDescent="0.2">
      <c r="A43" t="s">
        <v>13</v>
      </c>
      <c r="B43" t="s">
        <v>1</v>
      </c>
      <c r="C43" s="1">
        <v>20000000</v>
      </c>
    </row>
    <row r="44" spans="1:3" x14ac:dyDescent="0.2">
      <c r="A44" t="s">
        <v>14</v>
      </c>
      <c r="B44" t="s">
        <v>1</v>
      </c>
      <c r="C44" s="1">
        <v>20000000</v>
      </c>
    </row>
    <row r="45" spans="1:3" x14ac:dyDescent="0.2">
      <c r="A45" t="s">
        <v>15</v>
      </c>
      <c r="B45" t="s">
        <v>1</v>
      </c>
      <c r="C45" s="1">
        <v>20000000</v>
      </c>
    </row>
    <row r="46" spans="1:3" x14ac:dyDescent="0.2">
      <c r="A46" t="s">
        <v>16</v>
      </c>
      <c r="B46" t="s">
        <v>1</v>
      </c>
      <c r="C46" s="1">
        <v>20000000</v>
      </c>
    </row>
    <row r="47" spans="1:3" x14ac:dyDescent="0.2">
      <c r="A47" t="s">
        <v>17</v>
      </c>
      <c r="B47" t="s">
        <v>1</v>
      </c>
      <c r="C47" s="1">
        <v>20000000</v>
      </c>
    </row>
    <row r="48" spans="1:3" x14ac:dyDescent="0.2">
      <c r="A48" t="s">
        <v>18</v>
      </c>
      <c r="B48" t="s">
        <v>1</v>
      </c>
      <c r="C48" s="1">
        <v>20000000</v>
      </c>
    </row>
    <row r="49" spans="1:3" x14ac:dyDescent="0.2">
      <c r="A49" t="s">
        <v>19</v>
      </c>
      <c r="B49" t="s">
        <v>1</v>
      </c>
      <c r="C49" s="1">
        <v>20000000</v>
      </c>
    </row>
    <row r="50" spans="1:3" x14ac:dyDescent="0.2">
      <c r="A50" t="s">
        <v>20</v>
      </c>
      <c r="B50" t="s">
        <v>1</v>
      </c>
      <c r="C50" s="1">
        <v>20000000</v>
      </c>
    </row>
    <row r="51" spans="1:3" x14ac:dyDescent="0.2">
      <c r="A51" t="s">
        <v>21</v>
      </c>
      <c r="B51" t="s">
        <v>1</v>
      </c>
      <c r="C51" s="1">
        <v>20000000</v>
      </c>
    </row>
    <row r="52" spans="1:3" x14ac:dyDescent="0.2">
      <c r="A52" t="s">
        <v>22</v>
      </c>
      <c r="B52" t="s">
        <v>1</v>
      </c>
      <c r="C52" s="1">
        <v>20000000</v>
      </c>
    </row>
    <row r="53" spans="1:3" x14ac:dyDescent="0.2">
      <c r="C53" s="1"/>
    </row>
    <row r="54" spans="1:3" x14ac:dyDescent="0.2">
      <c r="C54" s="1"/>
    </row>
    <row r="55" spans="1:3" x14ac:dyDescent="0.2">
      <c r="C55" s="1"/>
    </row>
    <row r="56" spans="1:3" x14ac:dyDescent="0.2">
      <c r="C56" s="1"/>
    </row>
    <row r="57" spans="1:3" x14ac:dyDescent="0.2">
      <c r="C57" s="1"/>
    </row>
    <row r="58" spans="1:3" x14ac:dyDescent="0.2">
      <c r="C58" s="1"/>
    </row>
    <row r="59" spans="1:3" x14ac:dyDescent="0.2">
      <c r="C59" s="1"/>
    </row>
    <row r="60" spans="1:3" x14ac:dyDescent="0.2">
      <c r="C60" s="1"/>
    </row>
    <row r="61" spans="1:3" x14ac:dyDescent="0.2">
      <c r="C61" s="1"/>
    </row>
    <row r="62" spans="1:3" x14ac:dyDescent="0.2">
      <c r="C62" s="1"/>
    </row>
    <row r="63" spans="1:3" x14ac:dyDescent="0.2">
      <c r="C63" s="1"/>
    </row>
    <row r="64" spans="1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</sheetData>
  <autoFilter ref="A1:C67" xr:uid="{8D603A15-5E47-49C2-869D-0CF1E275A45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3D3C-8638-49BD-9AAE-870293E4BFF2}">
  <dimension ref="A1:C19"/>
  <sheetViews>
    <sheetView workbookViewId="0">
      <selection activeCell="C17" sqref="C17"/>
    </sheetView>
  </sheetViews>
  <sheetFormatPr baseColWidth="10" defaultRowHeight="15" x14ac:dyDescent="0.2"/>
  <cols>
    <col min="1" max="1" width="17" bestFit="1" customWidth="1"/>
    <col min="2" max="2" width="5.83203125" bestFit="1" customWidth="1"/>
    <col min="3" max="3" width="28.1640625" bestFit="1" customWidth="1"/>
  </cols>
  <sheetData>
    <row r="1" spans="1:3" x14ac:dyDescent="0.2">
      <c r="A1" t="s">
        <v>38</v>
      </c>
    </row>
    <row r="2" spans="1:3" x14ac:dyDescent="0.2">
      <c r="A2" t="s">
        <v>49</v>
      </c>
    </row>
    <row r="3" spans="1:3" x14ac:dyDescent="0.2">
      <c r="A3" t="s">
        <v>2</v>
      </c>
      <c r="B3" t="s">
        <v>0</v>
      </c>
      <c r="C3" t="s">
        <v>41</v>
      </c>
    </row>
    <row r="4" spans="1:3" x14ac:dyDescent="0.2">
      <c r="A4" t="s">
        <v>24</v>
      </c>
      <c r="B4">
        <v>1</v>
      </c>
      <c r="C4">
        <v>100</v>
      </c>
    </row>
    <row r="5" spans="1:3" x14ac:dyDescent="0.2">
      <c r="A5" t="s">
        <v>24</v>
      </c>
      <c r="B5">
        <v>2</v>
      </c>
      <c r="C5">
        <v>100</v>
      </c>
    </row>
    <row r="6" spans="1:3" x14ac:dyDescent="0.2">
      <c r="A6" t="s">
        <v>24</v>
      </c>
      <c r="B6">
        <v>3</v>
      </c>
      <c r="C6">
        <v>100</v>
      </c>
    </row>
    <row r="7" spans="1:3" x14ac:dyDescent="0.2">
      <c r="A7" t="s">
        <v>24</v>
      </c>
      <c r="B7">
        <v>4</v>
      </c>
      <c r="C7">
        <v>100</v>
      </c>
    </row>
    <row r="8" spans="1:3" x14ac:dyDescent="0.2">
      <c r="A8" t="s">
        <v>24</v>
      </c>
      <c r="B8">
        <v>5</v>
      </c>
      <c r="C8">
        <v>100</v>
      </c>
    </row>
    <row r="9" spans="1:3" x14ac:dyDescent="0.2">
      <c r="A9" t="s">
        <v>24</v>
      </c>
      <c r="B9">
        <v>6</v>
      </c>
      <c r="C9">
        <v>100</v>
      </c>
    </row>
    <row r="10" spans="1:3" x14ac:dyDescent="0.2">
      <c r="A10" t="s">
        <v>24</v>
      </c>
      <c r="B10">
        <v>7</v>
      </c>
      <c r="C10">
        <v>100</v>
      </c>
    </row>
    <row r="11" spans="1:3" x14ac:dyDescent="0.2">
      <c r="A11" t="s">
        <v>24</v>
      </c>
      <c r="B11">
        <v>8</v>
      </c>
      <c r="C11">
        <v>100</v>
      </c>
    </row>
    <row r="12" spans="1:3" x14ac:dyDescent="0.2">
      <c r="A12" t="s">
        <v>1</v>
      </c>
      <c r="B12">
        <v>1</v>
      </c>
      <c r="C12">
        <v>246.30541871921179</v>
      </c>
    </row>
    <row r="13" spans="1:3" x14ac:dyDescent="0.2">
      <c r="A13" t="s">
        <v>1</v>
      </c>
      <c r="B13">
        <v>2</v>
      </c>
      <c r="C13">
        <v>198.4126984126984</v>
      </c>
    </row>
    <row r="14" spans="1:3" x14ac:dyDescent="0.2">
      <c r="A14" t="s">
        <v>1</v>
      </c>
      <c r="B14">
        <v>3</v>
      </c>
      <c r="C14">
        <v>198.4126984126984</v>
      </c>
    </row>
    <row r="15" spans="1:3" x14ac:dyDescent="0.2">
      <c r="A15" t="s">
        <v>1</v>
      </c>
      <c r="B15">
        <v>4</v>
      </c>
      <c r="C15">
        <v>198.4126984126984</v>
      </c>
    </row>
    <row r="16" spans="1:3" x14ac:dyDescent="0.2">
      <c r="A16" t="s">
        <v>1</v>
      </c>
      <c r="B16">
        <v>5</v>
      </c>
      <c r="C16">
        <v>198.4126984126984</v>
      </c>
    </row>
    <row r="17" spans="1:3" x14ac:dyDescent="0.2">
      <c r="A17" t="s">
        <v>1</v>
      </c>
      <c r="B17">
        <v>6</v>
      </c>
      <c r="C17">
        <v>198.4126984126984</v>
      </c>
    </row>
    <row r="18" spans="1:3" x14ac:dyDescent="0.2">
      <c r="A18" t="s">
        <v>1</v>
      </c>
      <c r="B18">
        <v>7</v>
      </c>
      <c r="C18">
        <v>198.4126984126984</v>
      </c>
    </row>
    <row r="19" spans="1:3" x14ac:dyDescent="0.2">
      <c r="A19" t="s">
        <v>1</v>
      </c>
      <c r="B19">
        <v>8</v>
      </c>
      <c r="C19">
        <v>198.4126984126984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5076-CBD6-455A-9054-0111DA6F4C56}">
  <dimension ref="A1:C19"/>
  <sheetViews>
    <sheetView workbookViewId="0">
      <selection activeCell="A21" activeCellId="1" sqref="A12:XFD12 A21:XFD21"/>
    </sheetView>
  </sheetViews>
  <sheetFormatPr baseColWidth="10" defaultRowHeight="15" x14ac:dyDescent="0.2"/>
  <cols>
    <col min="3" max="3" width="29.83203125" bestFit="1" customWidth="1"/>
  </cols>
  <sheetData>
    <row r="1" spans="1:3" x14ac:dyDescent="0.2">
      <c r="A1" t="s">
        <v>38</v>
      </c>
    </row>
    <row r="2" spans="1:3" x14ac:dyDescent="0.2">
      <c r="A2" t="s">
        <v>50</v>
      </c>
    </row>
    <row r="3" spans="1:3" x14ac:dyDescent="0.2">
      <c r="A3" t="s">
        <v>2</v>
      </c>
      <c r="B3" t="s">
        <v>0</v>
      </c>
      <c r="C3" t="s">
        <v>40</v>
      </c>
    </row>
    <row r="4" spans="1:3" x14ac:dyDescent="0.2">
      <c r="A4" t="s">
        <v>24</v>
      </c>
      <c r="B4">
        <v>1</v>
      </c>
      <c r="C4">
        <v>0</v>
      </c>
    </row>
    <row r="5" spans="1:3" x14ac:dyDescent="0.2">
      <c r="A5" t="s">
        <v>24</v>
      </c>
      <c r="B5">
        <v>2</v>
      </c>
      <c r="C5">
        <v>0</v>
      </c>
    </row>
    <row r="6" spans="1:3" x14ac:dyDescent="0.2">
      <c r="A6" t="s">
        <v>24</v>
      </c>
      <c r="B6">
        <v>3</v>
      </c>
      <c r="C6">
        <v>0</v>
      </c>
    </row>
    <row r="7" spans="1:3" x14ac:dyDescent="0.2">
      <c r="A7" t="s">
        <v>24</v>
      </c>
      <c r="B7">
        <v>4</v>
      </c>
      <c r="C7">
        <v>0</v>
      </c>
    </row>
    <row r="8" spans="1:3" x14ac:dyDescent="0.2">
      <c r="A8" t="s">
        <v>24</v>
      </c>
      <c r="B8">
        <v>5</v>
      </c>
      <c r="C8">
        <v>0</v>
      </c>
    </row>
    <row r="9" spans="1:3" x14ac:dyDescent="0.2">
      <c r="A9" t="s">
        <v>24</v>
      </c>
      <c r="B9">
        <v>6</v>
      </c>
      <c r="C9">
        <v>0</v>
      </c>
    </row>
    <row r="10" spans="1:3" x14ac:dyDescent="0.2">
      <c r="A10" t="s">
        <v>24</v>
      </c>
      <c r="B10">
        <v>7</v>
      </c>
      <c r="C10">
        <v>0</v>
      </c>
    </row>
    <row r="11" spans="1:3" x14ac:dyDescent="0.2">
      <c r="A11" t="s">
        <v>24</v>
      </c>
      <c r="B11">
        <v>8</v>
      </c>
      <c r="C11">
        <v>0</v>
      </c>
    </row>
    <row r="12" spans="1:3" x14ac:dyDescent="0.2">
      <c r="A12" t="s">
        <v>1</v>
      </c>
      <c r="B12">
        <v>1</v>
      </c>
      <c r="C12">
        <v>0</v>
      </c>
    </row>
    <row r="13" spans="1:3" x14ac:dyDescent="0.2">
      <c r="A13" t="s">
        <v>1</v>
      </c>
      <c r="B13">
        <v>2</v>
      </c>
      <c r="C13">
        <v>0</v>
      </c>
    </row>
    <row r="14" spans="1:3" x14ac:dyDescent="0.2">
      <c r="A14" t="s">
        <v>1</v>
      </c>
      <c r="B14">
        <v>3</v>
      </c>
      <c r="C14">
        <v>0</v>
      </c>
    </row>
    <row r="15" spans="1:3" x14ac:dyDescent="0.2">
      <c r="A15" t="s">
        <v>1</v>
      </c>
      <c r="B15">
        <v>4</v>
      </c>
      <c r="C15">
        <v>0</v>
      </c>
    </row>
    <row r="16" spans="1:3" x14ac:dyDescent="0.2">
      <c r="A16" t="s">
        <v>1</v>
      </c>
      <c r="B16">
        <v>5</v>
      </c>
      <c r="C16">
        <v>0</v>
      </c>
    </row>
    <row r="17" spans="1:3" x14ac:dyDescent="0.2">
      <c r="A17" t="s">
        <v>1</v>
      </c>
      <c r="B17">
        <v>6</v>
      </c>
      <c r="C17">
        <v>0</v>
      </c>
    </row>
    <row r="18" spans="1:3" x14ac:dyDescent="0.2">
      <c r="A18" t="s">
        <v>1</v>
      </c>
      <c r="B18">
        <v>7</v>
      </c>
      <c r="C18">
        <v>0</v>
      </c>
    </row>
    <row r="19" spans="1:3" x14ac:dyDescent="0.2">
      <c r="A19" t="s">
        <v>1</v>
      </c>
      <c r="B19">
        <v>8</v>
      </c>
      <c r="C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5"/>
  <sheetViews>
    <sheetView workbookViewId="0">
      <selection activeCell="C30" sqref="C30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21.6640625" customWidth="1"/>
    <col min="5" max="5" width="10.1640625" bestFit="1" customWidth="1"/>
  </cols>
  <sheetData>
    <row r="1" spans="1:4" x14ac:dyDescent="0.2">
      <c r="A1" t="s">
        <v>36</v>
      </c>
    </row>
    <row r="2" spans="1:4" x14ac:dyDescent="0.2">
      <c r="A2" t="s">
        <v>51</v>
      </c>
    </row>
    <row r="3" spans="1:4" x14ac:dyDescent="0.2">
      <c r="A3" s="3" t="s">
        <v>23</v>
      </c>
      <c r="B3" t="s">
        <v>2</v>
      </c>
      <c r="C3" t="s">
        <v>0</v>
      </c>
      <c r="D3" t="s">
        <v>27</v>
      </c>
    </row>
    <row r="4" spans="1:4" x14ac:dyDescent="0.2">
      <c r="A4" t="s">
        <v>3</v>
      </c>
      <c r="B4" t="s">
        <v>24</v>
      </c>
      <c r="C4">
        <v>1</v>
      </c>
      <c r="D4" s="1">
        <v>124704</v>
      </c>
    </row>
    <row r="5" spans="1:4" x14ac:dyDescent="0.2">
      <c r="A5" t="s">
        <v>4</v>
      </c>
      <c r="B5" t="s">
        <v>24</v>
      </c>
      <c r="C5">
        <v>1</v>
      </c>
      <c r="D5" s="1">
        <v>2199.34</v>
      </c>
    </row>
    <row r="6" spans="1:4" x14ac:dyDescent="0.2">
      <c r="A6" t="s">
        <v>5</v>
      </c>
      <c r="B6" t="s">
        <v>24</v>
      </c>
      <c r="C6">
        <v>1</v>
      </c>
      <c r="D6" s="1">
        <v>7762.5</v>
      </c>
    </row>
    <row r="7" spans="1:4" x14ac:dyDescent="0.2">
      <c r="A7" t="s">
        <v>6</v>
      </c>
      <c r="B7" t="s">
        <v>24</v>
      </c>
      <c r="C7">
        <v>1</v>
      </c>
      <c r="D7" s="1">
        <v>1499.2</v>
      </c>
    </row>
    <row r="8" spans="1:4" x14ac:dyDescent="0.2">
      <c r="A8" t="s">
        <v>7</v>
      </c>
      <c r="B8" t="s">
        <v>24</v>
      </c>
      <c r="C8">
        <v>1</v>
      </c>
      <c r="D8" s="1">
        <v>368989</v>
      </c>
    </row>
    <row r="9" spans="1:4" x14ac:dyDescent="0.2">
      <c r="A9" t="s">
        <v>8</v>
      </c>
      <c r="B9" t="s">
        <v>24</v>
      </c>
      <c r="C9">
        <v>1</v>
      </c>
      <c r="D9" s="1">
        <v>6723.5</v>
      </c>
    </row>
    <row r="10" spans="1:4" x14ac:dyDescent="0.2">
      <c r="A10" t="s">
        <v>9</v>
      </c>
      <c r="B10" t="s">
        <v>24</v>
      </c>
      <c r="C10">
        <v>1</v>
      </c>
      <c r="D10" s="1">
        <v>38626</v>
      </c>
    </row>
    <row r="11" spans="1:4" x14ac:dyDescent="0.2">
      <c r="A11" t="s">
        <v>12</v>
      </c>
      <c r="B11" t="s">
        <v>24</v>
      </c>
      <c r="C11">
        <v>1</v>
      </c>
      <c r="D11" s="1">
        <v>1530150.91</v>
      </c>
    </row>
    <row r="12" spans="1:4" x14ac:dyDescent="0.2">
      <c r="A12" t="s">
        <v>14</v>
      </c>
      <c r="B12" t="s">
        <v>24</v>
      </c>
      <c r="C12">
        <v>1</v>
      </c>
      <c r="D12" s="1">
        <v>184296</v>
      </c>
    </row>
    <row r="13" spans="1:4" x14ac:dyDescent="0.2">
      <c r="A13" t="s">
        <v>15</v>
      </c>
      <c r="B13" t="s">
        <v>24</v>
      </c>
      <c r="C13">
        <v>1</v>
      </c>
      <c r="D13" s="1">
        <v>33432</v>
      </c>
    </row>
    <row r="14" spans="1:4" x14ac:dyDescent="0.2">
      <c r="A14" t="s">
        <v>16</v>
      </c>
      <c r="B14" t="s">
        <v>24</v>
      </c>
      <c r="C14">
        <v>1</v>
      </c>
      <c r="D14" s="1">
        <v>21190.44</v>
      </c>
    </row>
    <row r="15" spans="1:4" x14ac:dyDescent="0.2">
      <c r="A15" t="s">
        <v>17</v>
      </c>
      <c r="B15" t="s">
        <v>24</v>
      </c>
      <c r="C15">
        <v>1</v>
      </c>
      <c r="D15" s="1">
        <v>21190.44</v>
      </c>
    </row>
    <row r="16" spans="1:4" x14ac:dyDescent="0.2">
      <c r="A16" t="s">
        <v>18</v>
      </c>
      <c r="B16" t="s">
        <v>24</v>
      </c>
      <c r="C16">
        <v>1</v>
      </c>
      <c r="D16" s="1">
        <v>1499.2</v>
      </c>
    </row>
    <row r="17" spans="1:4" x14ac:dyDescent="0.2">
      <c r="A17" t="s">
        <v>19</v>
      </c>
      <c r="B17" t="s">
        <v>24</v>
      </c>
      <c r="C17">
        <v>1</v>
      </c>
      <c r="D17" s="1">
        <v>2199.34</v>
      </c>
    </row>
    <row r="18" spans="1:4" x14ac:dyDescent="0.2">
      <c r="A18" t="s">
        <v>20</v>
      </c>
      <c r="B18" t="s">
        <v>24</v>
      </c>
      <c r="C18">
        <v>1</v>
      </c>
      <c r="D18" s="1">
        <v>38626</v>
      </c>
    </row>
    <row r="19" spans="1:4" x14ac:dyDescent="0.2">
      <c r="A19" t="s">
        <v>21</v>
      </c>
      <c r="B19" t="s">
        <v>24</v>
      </c>
      <c r="C19">
        <v>1</v>
      </c>
      <c r="D19" s="1">
        <v>49280</v>
      </c>
    </row>
    <row r="20" spans="1:4" x14ac:dyDescent="0.2">
      <c r="A20" t="s">
        <v>22</v>
      </c>
      <c r="B20" t="s">
        <v>24</v>
      </c>
      <c r="C20">
        <v>1</v>
      </c>
      <c r="D20" s="1">
        <v>6120</v>
      </c>
    </row>
    <row r="21" spans="1:4" x14ac:dyDescent="0.2">
      <c r="D21" s="1"/>
    </row>
    <row r="22" spans="1:4" x14ac:dyDescent="0.2">
      <c r="D22" s="1"/>
    </row>
    <row r="23" spans="1:4" x14ac:dyDescent="0.2">
      <c r="D23" s="1"/>
    </row>
    <row r="24" spans="1:4" x14ac:dyDescent="0.2">
      <c r="D24" s="1"/>
    </row>
    <row r="25" spans="1:4" x14ac:dyDescent="0.2">
      <c r="D25" s="1"/>
    </row>
    <row r="26" spans="1:4" x14ac:dyDescent="0.2">
      <c r="D26" s="1"/>
    </row>
    <row r="27" spans="1:4" x14ac:dyDescent="0.2">
      <c r="D27" s="1"/>
    </row>
    <row r="28" spans="1:4" x14ac:dyDescent="0.2">
      <c r="D28" s="1"/>
    </row>
    <row r="29" spans="1:4" x14ac:dyDescent="0.2">
      <c r="D29" s="1"/>
    </row>
    <row r="30" spans="1:4" x14ac:dyDescent="0.2">
      <c r="D30" s="1"/>
    </row>
    <row r="31" spans="1:4" x14ac:dyDescent="0.2">
      <c r="D31" s="1"/>
    </row>
    <row r="32" spans="1:4" x14ac:dyDescent="0.2">
      <c r="D32" s="1"/>
    </row>
    <row r="33" spans="1:4" x14ac:dyDescent="0.2">
      <c r="A33" t="s">
        <v>3</v>
      </c>
      <c r="B33" t="s">
        <v>24</v>
      </c>
      <c r="C33">
        <v>2</v>
      </c>
      <c r="D33" s="1">
        <v>124704</v>
      </c>
    </row>
    <row r="34" spans="1:4" x14ac:dyDescent="0.2">
      <c r="A34" t="s">
        <v>4</v>
      </c>
      <c r="B34" t="s">
        <v>24</v>
      </c>
      <c r="C34">
        <v>2</v>
      </c>
      <c r="D34" s="1">
        <v>2199.34</v>
      </c>
    </row>
    <row r="35" spans="1:4" x14ac:dyDescent="0.2">
      <c r="A35" t="s">
        <v>5</v>
      </c>
      <c r="B35" t="s">
        <v>24</v>
      </c>
      <c r="C35">
        <v>2</v>
      </c>
      <c r="D35" s="1">
        <v>7762.5</v>
      </c>
    </row>
    <row r="36" spans="1:4" x14ac:dyDescent="0.2">
      <c r="A36" t="s">
        <v>6</v>
      </c>
      <c r="B36" t="s">
        <v>24</v>
      </c>
      <c r="C36">
        <v>2</v>
      </c>
      <c r="D36" s="1">
        <v>1499.2</v>
      </c>
    </row>
    <row r="37" spans="1:4" x14ac:dyDescent="0.2">
      <c r="A37" t="s">
        <v>7</v>
      </c>
      <c r="B37" t="s">
        <v>24</v>
      </c>
      <c r="C37">
        <v>2</v>
      </c>
      <c r="D37" s="1">
        <v>368989</v>
      </c>
    </row>
    <row r="38" spans="1:4" x14ac:dyDescent="0.2">
      <c r="A38" t="s">
        <v>8</v>
      </c>
      <c r="B38" t="s">
        <v>24</v>
      </c>
      <c r="C38">
        <v>2</v>
      </c>
      <c r="D38" s="1">
        <v>6723.5</v>
      </c>
    </row>
    <row r="39" spans="1:4" x14ac:dyDescent="0.2">
      <c r="A39" t="s">
        <v>9</v>
      </c>
      <c r="B39" t="s">
        <v>24</v>
      </c>
      <c r="C39">
        <v>2</v>
      </c>
      <c r="D39" s="1">
        <v>38626</v>
      </c>
    </row>
    <row r="40" spans="1:4" x14ac:dyDescent="0.2">
      <c r="A40" t="s">
        <v>12</v>
      </c>
      <c r="B40" t="s">
        <v>24</v>
      </c>
      <c r="C40">
        <v>2</v>
      </c>
      <c r="D40" s="1">
        <v>1530150.91</v>
      </c>
    </row>
    <row r="41" spans="1:4" x14ac:dyDescent="0.2">
      <c r="A41" t="s">
        <v>14</v>
      </c>
      <c r="B41" t="s">
        <v>24</v>
      </c>
      <c r="C41">
        <v>2</v>
      </c>
      <c r="D41" s="1">
        <v>184296</v>
      </c>
    </row>
    <row r="42" spans="1:4" x14ac:dyDescent="0.2">
      <c r="A42" t="s">
        <v>15</v>
      </c>
      <c r="B42" t="s">
        <v>24</v>
      </c>
      <c r="C42">
        <v>2</v>
      </c>
      <c r="D42" s="1">
        <v>33432</v>
      </c>
    </row>
    <row r="43" spans="1:4" x14ac:dyDescent="0.2">
      <c r="A43" t="s">
        <v>16</v>
      </c>
      <c r="B43" t="s">
        <v>24</v>
      </c>
      <c r="C43">
        <v>2</v>
      </c>
      <c r="D43" s="1">
        <v>21190.44</v>
      </c>
    </row>
    <row r="44" spans="1:4" x14ac:dyDescent="0.2">
      <c r="A44" t="s">
        <v>17</v>
      </c>
      <c r="B44" t="s">
        <v>24</v>
      </c>
      <c r="C44">
        <v>2</v>
      </c>
      <c r="D44" s="1">
        <v>21190.44</v>
      </c>
    </row>
    <row r="45" spans="1:4" x14ac:dyDescent="0.2">
      <c r="A45" t="s">
        <v>18</v>
      </c>
      <c r="B45" t="s">
        <v>24</v>
      </c>
      <c r="C45">
        <v>2</v>
      </c>
      <c r="D45" s="1">
        <v>1499.2</v>
      </c>
    </row>
    <row r="46" spans="1:4" x14ac:dyDescent="0.2">
      <c r="A46" t="s">
        <v>19</v>
      </c>
      <c r="B46" t="s">
        <v>24</v>
      </c>
      <c r="C46">
        <v>2</v>
      </c>
      <c r="D46" s="1">
        <v>2199.34</v>
      </c>
    </row>
    <row r="47" spans="1:4" x14ac:dyDescent="0.2">
      <c r="A47" t="s">
        <v>20</v>
      </c>
      <c r="B47" t="s">
        <v>24</v>
      </c>
      <c r="C47">
        <v>2</v>
      </c>
      <c r="D47" s="1">
        <v>38626</v>
      </c>
    </row>
    <row r="48" spans="1:4" x14ac:dyDescent="0.2">
      <c r="A48" t="s">
        <v>21</v>
      </c>
      <c r="B48" t="s">
        <v>24</v>
      </c>
      <c r="C48">
        <v>2</v>
      </c>
      <c r="D48" s="1">
        <v>49280</v>
      </c>
    </row>
    <row r="49" spans="1:4" x14ac:dyDescent="0.2">
      <c r="A49" t="s">
        <v>22</v>
      </c>
      <c r="B49" t="s">
        <v>24</v>
      </c>
      <c r="C49">
        <v>2</v>
      </c>
      <c r="D49" s="1">
        <v>6120</v>
      </c>
    </row>
    <row r="50" spans="1:4" x14ac:dyDescent="0.2">
      <c r="D50" s="1"/>
    </row>
    <row r="51" spans="1:4" x14ac:dyDescent="0.2">
      <c r="D51" s="1"/>
    </row>
    <row r="52" spans="1:4" x14ac:dyDescent="0.2">
      <c r="D52" s="1"/>
    </row>
    <row r="53" spans="1:4" x14ac:dyDescent="0.2">
      <c r="D53" s="1"/>
    </row>
    <row r="54" spans="1:4" x14ac:dyDescent="0.2">
      <c r="D54" s="1"/>
    </row>
    <row r="55" spans="1:4" x14ac:dyDescent="0.2">
      <c r="D55" s="1"/>
    </row>
    <row r="56" spans="1:4" x14ac:dyDescent="0.2">
      <c r="D56" s="1"/>
    </row>
    <row r="57" spans="1:4" x14ac:dyDescent="0.2">
      <c r="D57" s="1"/>
    </row>
    <row r="58" spans="1:4" x14ac:dyDescent="0.2">
      <c r="D58" s="1"/>
    </row>
    <row r="59" spans="1:4" x14ac:dyDescent="0.2">
      <c r="D59" s="1"/>
    </row>
    <row r="60" spans="1:4" x14ac:dyDescent="0.2">
      <c r="D60" s="1"/>
    </row>
    <row r="61" spans="1:4" x14ac:dyDescent="0.2">
      <c r="A61" t="s">
        <v>3</v>
      </c>
      <c r="B61" t="s">
        <v>24</v>
      </c>
      <c r="C61">
        <v>3</v>
      </c>
      <c r="D61" s="1">
        <v>124704</v>
      </c>
    </row>
    <row r="62" spans="1:4" x14ac:dyDescent="0.2">
      <c r="A62" t="s">
        <v>4</v>
      </c>
      <c r="B62" t="s">
        <v>24</v>
      </c>
      <c r="C62">
        <v>3</v>
      </c>
      <c r="D62" s="1">
        <v>2199.34</v>
      </c>
    </row>
    <row r="63" spans="1:4" x14ac:dyDescent="0.2">
      <c r="A63" t="s">
        <v>5</v>
      </c>
      <c r="B63" t="s">
        <v>24</v>
      </c>
      <c r="C63">
        <v>3</v>
      </c>
      <c r="D63" s="1">
        <v>7762.5</v>
      </c>
    </row>
    <row r="64" spans="1:4" x14ac:dyDescent="0.2">
      <c r="A64" t="s">
        <v>6</v>
      </c>
      <c r="B64" t="s">
        <v>24</v>
      </c>
      <c r="C64">
        <v>3</v>
      </c>
      <c r="D64" s="1">
        <v>1499.2</v>
      </c>
    </row>
    <row r="65" spans="1:4" x14ac:dyDescent="0.2">
      <c r="A65" t="s">
        <v>7</v>
      </c>
      <c r="B65" t="s">
        <v>24</v>
      </c>
      <c r="C65">
        <v>3</v>
      </c>
      <c r="D65" s="1">
        <v>368989</v>
      </c>
    </row>
    <row r="66" spans="1:4" x14ac:dyDescent="0.2">
      <c r="A66" t="s">
        <v>8</v>
      </c>
      <c r="B66" t="s">
        <v>24</v>
      </c>
      <c r="C66">
        <v>3</v>
      </c>
      <c r="D66" s="1">
        <v>6723.5</v>
      </c>
    </row>
    <row r="67" spans="1:4" x14ac:dyDescent="0.2">
      <c r="A67" t="s">
        <v>9</v>
      </c>
      <c r="B67" t="s">
        <v>24</v>
      </c>
      <c r="C67">
        <v>3</v>
      </c>
      <c r="D67" s="1">
        <v>38626</v>
      </c>
    </row>
    <row r="68" spans="1:4" x14ac:dyDescent="0.2">
      <c r="A68" t="s">
        <v>12</v>
      </c>
      <c r="B68" t="s">
        <v>24</v>
      </c>
      <c r="C68">
        <v>3</v>
      </c>
      <c r="D68" s="1">
        <v>1530150.91</v>
      </c>
    </row>
    <row r="69" spans="1:4" x14ac:dyDescent="0.2">
      <c r="A69" t="s">
        <v>14</v>
      </c>
      <c r="B69" t="s">
        <v>24</v>
      </c>
      <c r="C69">
        <v>3</v>
      </c>
      <c r="D69" s="1">
        <v>184296</v>
      </c>
    </row>
    <row r="70" spans="1:4" x14ac:dyDescent="0.2">
      <c r="A70" t="s">
        <v>15</v>
      </c>
      <c r="B70" t="s">
        <v>24</v>
      </c>
      <c r="C70">
        <v>3</v>
      </c>
      <c r="D70" s="1">
        <v>33432</v>
      </c>
    </row>
    <row r="71" spans="1:4" x14ac:dyDescent="0.2">
      <c r="A71" t="s">
        <v>16</v>
      </c>
      <c r="B71" t="s">
        <v>24</v>
      </c>
      <c r="C71">
        <v>3</v>
      </c>
      <c r="D71" s="1">
        <v>21190.44</v>
      </c>
    </row>
    <row r="72" spans="1:4" x14ac:dyDescent="0.2">
      <c r="A72" t="s">
        <v>17</v>
      </c>
      <c r="B72" t="s">
        <v>24</v>
      </c>
      <c r="C72">
        <v>3</v>
      </c>
      <c r="D72" s="1">
        <v>21190.44</v>
      </c>
    </row>
    <row r="73" spans="1:4" x14ac:dyDescent="0.2">
      <c r="A73" t="s">
        <v>18</v>
      </c>
      <c r="B73" t="s">
        <v>24</v>
      </c>
      <c r="C73">
        <v>3</v>
      </c>
      <c r="D73" s="1">
        <v>1499.2</v>
      </c>
    </row>
    <row r="74" spans="1:4" x14ac:dyDescent="0.2">
      <c r="A74" t="s">
        <v>19</v>
      </c>
      <c r="B74" t="s">
        <v>24</v>
      </c>
      <c r="C74">
        <v>3</v>
      </c>
      <c r="D74" s="1">
        <v>2199.34</v>
      </c>
    </row>
    <row r="75" spans="1:4" x14ac:dyDescent="0.2">
      <c r="A75" t="s">
        <v>20</v>
      </c>
      <c r="B75" t="s">
        <v>24</v>
      </c>
      <c r="C75">
        <v>3</v>
      </c>
      <c r="D75" s="1">
        <v>38626</v>
      </c>
    </row>
    <row r="76" spans="1:4" x14ac:dyDescent="0.2">
      <c r="A76" t="s">
        <v>21</v>
      </c>
      <c r="B76" t="s">
        <v>24</v>
      </c>
      <c r="C76">
        <v>3</v>
      </c>
      <c r="D76" s="1">
        <v>49280</v>
      </c>
    </row>
    <row r="77" spans="1:4" x14ac:dyDescent="0.2">
      <c r="A77" t="s">
        <v>22</v>
      </c>
      <c r="B77" t="s">
        <v>24</v>
      </c>
      <c r="C77">
        <v>3</v>
      </c>
      <c r="D77" s="1">
        <v>6120</v>
      </c>
    </row>
    <row r="78" spans="1:4" x14ac:dyDescent="0.2">
      <c r="D78" s="1"/>
    </row>
    <row r="79" spans="1:4" x14ac:dyDescent="0.2">
      <c r="D79" s="1"/>
    </row>
    <row r="80" spans="1:4" x14ac:dyDescent="0.2">
      <c r="D80" s="1"/>
    </row>
    <row r="81" spans="1:4" x14ac:dyDescent="0.2">
      <c r="D81" s="1"/>
    </row>
    <row r="82" spans="1:4" x14ac:dyDescent="0.2">
      <c r="D82" s="1"/>
    </row>
    <row r="83" spans="1:4" x14ac:dyDescent="0.2">
      <c r="D83" s="1"/>
    </row>
    <row r="84" spans="1:4" x14ac:dyDescent="0.2">
      <c r="D84" s="1"/>
    </row>
    <row r="85" spans="1:4" x14ac:dyDescent="0.2">
      <c r="D85" s="1"/>
    </row>
    <row r="86" spans="1:4" x14ac:dyDescent="0.2">
      <c r="D86" s="1"/>
    </row>
    <row r="87" spans="1:4" x14ac:dyDescent="0.2">
      <c r="D87" s="1"/>
    </row>
    <row r="88" spans="1:4" x14ac:dyDescent="0.2">
      <c r="D88" s="1"/>
    </row>
    <row r="89" spans="1:4" x14ac:dyDescent="0.2">
      <c r="A89" t="s">
        <v>3</v>
      </c>
      <c r="B89" t="s">
        <v>24</v>
      </c>
      <c r="C89">
        <v>4</v>
      </c>
      <c r="D89" s="1">
        <v>124704</v>
      </c>
    </row>
    <row r="90" spans="1:4" x14ac:dyDescent="0.2">
      <c r="A90" t="s">
        <v>4</v>
      </c>
      <c r="B90" t="s">
        <v>24</v>
      </c>
      <c r="C90">
        <v>4</v>
      </c>
      <c r="D90" s="1">
        <v>2199.34</v>
      </c>
    </row>
    <row r="91" spans="1:4" x14ac:dyDescent="0.2">
      <c r="A91" t="s">
        <v>5</v>
      </c>
      <c r="B91" t="s">
        <v>24</v>
      </c>
      <c r="C91">
        <v>4</v>
      </c>
      <c r="D91" s="1">
        <v>7762.5</v>
      </c>
    </row>
    <row r="92" spans="1:4" x14ac:dyDescent="0.2">
      <c r="A92" t="s">
        <v>6</v>
      </c>
      <c r="B92" t="s">
        <v>24</v>
      </c>
      <c r="C92">
        <v>4</v>
      </c>
      <c r="D92" s="1">
        <v>1499.2</v>
      </c>
    </row>
    <row r="93" spans="1:4" x14ac:dyDescent="0.2">
      <c r="A93" t="s">
        <v>7</v>
      </c>
      <c r="B93" t="s">
        <v>24</v>
      </c>
      <c r="C93">
        <v>4</v>
      </c>
      <c r="D93" s="1">
        <v>368989</v>
      </c>
    </row>
    <row r="94" spans="1:4" x14ac:dyDescent="0.2">
      <c r="A94" t="s">
        <v>8</v>
      </c>
      <c r="B94" t="s">
        <v>24</v>
      </c>
      <c r="C94">
        <v>4</v>
      </c>
      <c r="D94" s="1">
        <v>6723.5</v>
      </c>
    </row>
    <row r="95" spans="1:4" x14ac:dyDescent="0.2">
      <c r="A95" t="s">
        <v>9</v>
      </c>
      <c r="B95" t="s">
        <v>24</v>
      </c>
      <c r="C95">
        <v>4</v>
      </c>
      <c r="D95" s="1">
        <v>38626</v>
      </c>
    </row>
    <row r="96" spans="1:4" x14ac:dyDescent="0.2">
      <c r="A96" t="s">
        <v>12</v>
      </c>
      <c r="B96" t="s">
        <v>24</v>
      </c>
      <c r="C96">
        <v>4</v>
      </c>
      <c r="D96" s="1">
        <v>1530150.91</v>
      </c>
    </row>
    <row r="97" spans="1:4" x14ac:dyDescent="0.2">
      <c r="A97" t="s">
        <v>14</v>
      </c>
      <c r="B97" t="s">
        <v>24</v>
      </c>
      <c r="C97">
        <v>4</v>
      </c>
      <c r="D97" s="1">
        <v>184296</v>
      </c>
    </row>
    <row r="98" spans="1:4" x14ac:dyDescent="0.2">
      <c r="A98" t="s">
        <v>15</v>
      </c>
      <c r="B98" t="s">
        <v>24</v>
      </c>
      <c r="C98">
        <v>4</v>
      </c>
      <c r="D98" s="1">
        <v>33432</v>
      </c>
    </row>
    <row r="99" spans="1:4" x14ac:dyDescent="0.2">
      <c r="A99" t="s">
        <v>16</v>
      </c>
      <c r="B99" t="s">
        <v>24</v>
      </c>
      <c r="C99">
        <v>4</v>
      </c>
      <c r="D99" s="1">
        <v>21190.44</v>
      </c>
    </row>
    <row r="100" spans="1:4" x14ac:dyDescent="0.2">
      <c r="A100" t="s">
        <v>17</v>
      </c>
      <c r="B100" t="s">
        <v>24</v>
      </c>
      <c r="C100">
        <v>4</v>
      </c>
      <c r="D100" s="1">
        <v>21190.44</v>
      </c>
    </row>
    <row r="101" spans="1:4" x14ac:dyDescent="0.2">
      <c r="A101" t="s">
        <v>18</v>
      </c>
      <c r="B101" t="s">
        <v>24</v>
      </c>
      <c r="C101">
        <v>4</v>
      </c>
      <c r="D101" s="1">
        <v>1499.2</v>
      </c>
    </row>
    <row r="102" spans="1:4" x14ac:dyDescent="0.2">
      <c r="A102" t="s">
        <v>19</v>
      </c>
      <c r="B102" t="s">
        <v>24</v>
      </c>
      <c r="C102">
        <v>4</v>
      </c>
      <c r="D102" s="1">
        <v>2199.34</v>
      </c>
    </row>
    <row r="103" spans="1:4" x14ac:dyDescent="0.2">
      <c r="A103" t="s">
        <v>20</v>
      </c>
      <c r="B103" t="s">
        <v>24</v>
      </c>
      <c r="C103">
        <v>4</v>
      </c>
      <c r="D103" s="1">
        <v>38626</v>
      </c>
    </row>
    <row r="104" spans="1:4" x14ac:dyDescent="0.2">
      <c r="A104" t="s">
        <v>21</v>
      </c>
      <c r="B104" t="s">
        <v>24</v>
      </c>
      <c r="C104">
        <v>4</v>
      </c>
      <c r="D104" s="1">
        <v>49280</v>
      </c>
    </row>
    <row r="105" spans="1:4" x14ac:dyDescent="0.2">
      <c r="A105" t="s">
        <v>22</v>
      </c>
      <c r="B105" t="s">
        <v>24</v>
      </c>
      <c r="C105">
        <v>4</v>
      </c>
      <c r="D105" s="1">
        <v>6120</v>
      </c>
    </row>
    <row r="106" spans="1:4" x14ac:dyDescent="0.2">
      <c r="D106" s="1"/>
    </row>
    <row r="107" spans="1:4" x14ac:dyDescent="0.2">
      <c r="D107" s="1"/>
    </row>
    <row r="108" spans="1:4" x14ac:dyDescent="0.2">
      <c r="D108" s="1"/>
    </row>
    <row r="109" spans="1:4" x14ac:dyDescent="0.2">
      <c r="D109" s="1"/>
    </row>
    <row r="110" spans="1:4" x14ac:dyDescent="0.2">
      <c r="D110" s="1"/>
    </row>
    <row r="111" spans="1:4" x14ac:dyDescent="0.2">
      <c r="D111" s="1"/>
    </row>
    <row r="112" spans="1:4" x14ac:dyDescent="0.2">
      <c r="D112" s="1"/>
    </row>
    <row r="113" spans="1:4" x14ac:dyDescent="0.2">
      <c r="D113" s="1"/>
    </row>
    <row r="114" spans="1:4" x14ac:dyDescent="0.2">
      <c r="D114" s="1"/>
    </row>
    <row r="115" spans="1:4" x14ac:dyDescent="0.2">
      <c r="D115" s="1"/>
    </row>
    <row r="116" spans="1:4" x14ac:dyDescent="0.2">
      <c r="D116" s="1"/>
    </row>
    <row r="117" spans="1:4" x14ac:dyDescent="0.2">
      <c r="A117" t="s">
        <v>3</v>
      </c>
      <c r="B117" t="s">
        <v>24</v>
      </c>
      <c r="C117">
        <v>5</v>
      </c>
      <c r="D117" s="1">
        <v>124704</v>
      </c>
    </row>
    <row r="118" spans="1:4" x14ac:dyDescent="0.2">
      <c r="A118" t="s">
        <v>4</v>
      </c>
      <c r="B118" t="s">
        <v>24</v>
      </c>
      <c r="C118">
        <v>5</v>
      </c>
      <c r="D118" s="1">
        <v>2199.34</v>
      </c>
    </row>
    <row r="119" spans="1:4" x14ac:dyDescent="0.2">
      <c r="A119" t="s">
        <v>5</v>
      </c>
      <c r="B119" t="s">
        <v>24</v>
      </c>
      <c r="C119">
        <v>5</v>
      </c>
      <c r="D119" s="1">
        <v>7762.5</v>
      </c>
    </row>
    <row r="120" spans="1:4" x14ac:dyDescent="0.2">
      <c r="A120" t="s">
        <v>6</v>
      </c>
      <c r="B120" t="s">
        <v>24</v>
      </c>
      <c r="C120">
        <v>5</v>
      </c>
      <c r="D120" s="1">
        <v>1499.2</v>
      </c>
    </row>
    <row r="121" spans="1:4" x14ac:dyDescent="0.2">
      <c r="A121" t="s">
        <v>7</v>
      </c>
      <c r="B121" t="s">
        <v>24</v>
      </c>
      <c r="C121">
        <v>5</v>
      </c>
      <c r="D121" s="1">
        <v>368989</v>
      </c>
    </row>
    <row r="122" spans="1:4" x14ac:dyDescent="0.2">
      <c r="A122" t="s">
        <v>8</v>
      </c>
      <c r="B122" t="s">
        <v>24</v>
      </c>
      <c r="C122">
        <v>5</v>
      </c>
      <c r="D122" s="1">
        <v>6723.5</v>
      </c>
    </row>
    <row r="123" spans="1:4" x14ac:dyDescent="0.2">
      <c r="A123" t="s">
        <v>9</v>
      </c>
      <c r="B123" t="s">
        <v>24</v>
      </c>
      <c r="C123">
        <v>5</v>
      </c>
      <c r="D123" s="1">
        <v>38626</v>
      </c>
    </row>
    <row r="124" spans="1:4" x14ac:dyDescent="0.2">
      <c r="A124" t="s">
        <v>12</v>
      </c>
      <c r="B124" t="s">
        <v>24</v>
      </c>
      <c r="C124">
        <v>5</v>
      </c>
      <c r="D124" s="1">
        <v>1530150.91</v>
      </c>
    </row>
    <row r="125" spans="1:4" x14ac:dyDescent="0.2">
      <c r="A125" t="s">
        <v>14</v>
      </c>
      <c r="B125" t="s">
        <v>24</v>
      </c>
      <c r="C125">
        <v>5</v>
      </c>
      <c r="D125" s="1">
        <v>184296</v>
      </c>
    </row>
    <row r="126" spans="1:4" x14ac:dyDescent="0.2">
      <c r="A126" t="s">
        <v>15</v>
      </c>
      <c r="B126" t="s">
        <v>24</v>
      </c>
      <c r="C126">
        <v>5</v>
      </c>
      <c r="D126" s="1">
        <v>33432</v>
      </c>
    </row>
    <row r="127" spans="1:4" x14ac:dyDescent="0.2">
      <c r="A127" t="s">
        <v>16</v>
      </c>
      <c r="B127" t="s">
        <v>24</v>
      </c>
      <c r="C127">
        <v>5</v>
      </c>
      <c r="D127" s="1">
        <v>21190.44</v>
      </c>
    </row>
    <row r="128" spans="1:4" x14ac:dyDescent="0.2">
      <c r="A128" t="s">
        <v>17</v>
      </c>
      <c r="B128" t="s">
        <v>24</v>
      </c>
      <c r="C128">
        <v>5</v>
      </c>
      <c r="D128" s="1">
        <v>21190.44</v>
      </c>
    </row>
    <row r="129" spans="1:4" x14ac:dyDescent="0.2">
      <c r="A129" t="s">
        <v>18</v>
      </c>
      <c r="B129" t="s">
        <v>24</v>
      </c>
      <c r="C129">
        <v>5</v>
      </c>
      <c r="D129" s="1">
        <v>1499.2</v>
      </c>
    </row>
    <row r="130" spans="1:4" x14ac:dyDescent="0.2">
      <c r="A130" t="s">
        <v>19</v>
      </c>
      <c r="B130" t="s">
        <v>24</v>
      </c>
      <c r="C130">
        <v>5</v>
      </c>
      <c r="D130" s="1">
        <v>2199.34</v>
      </c>
    </row>
    <row r="131" spans="1:4" x14ac:dyDescent="0.2">
      <c r="A131" t="s">
        <v>20</v>
      </c>
      <c r="B131" t="s">
        <v>24</v>
      </c>
      <c r="C131">
        <v>5</v>
      </c>
      <c r="D131" s="1">
        <v>38626</v>
      </c>
    </row>
    <row r="132" spans="1:4" x14ac:dyDescent="0.2">
      <c r="A132" t="s">
        <v>21</v>
      </c>
      <c r="B132" t="s">
        <v>24</v>
      </c>
      <c r="C132">
        <v>5</v>
      </c>
      <c r="D132" s="1">
        <v>49280</v>
      </c>
    </row>
    <row r="133" spans="1:4" x14ac:dyDescent="0.2">
      <c r="A133" t="s">
        <v>22</v>
      </c>
      <c r="B133" t="s">
        <v>24</v>
      </c>
      <c r="C133">
        <v>5</v>
      </c>
      <c r="D133" s="1">
        <v>6120</v>
      </c>
    </row>
    <row r="134" spans="1:4" x14ac:dyDescent="0.2">
      <c r="D134" s="1"/>
    </row>
    <row r="135" spans="1:4" x14ac:dyDescent="0.2">
      <c r="D135" s="1"/>
    </row>
    <row r="136" spans="1:4" x14ac:dyDescent="0.2">
      <c r="D136" s="1"/>
    </row>
    <row r="137" spans="1:4" x14ac:dyDescent="0.2">
      <c r="D137" s="1"/>
    </row>
    <row r="138" spans="1:4" x14ac:dyDescent="0.2">
      <c r="D138" s="1"/>
    </row>
    <row r="139" spans="1:4" x14ac:dyDescent="0.2">
      <c r="D139" s="1"/>
    </row>
    <row r="140" spans="1:4" x14ac:dyDescent="0.2">
      <c r="D140" s="1"/>
    </row>
    <row r="141" spans="1:4" x14ac:dyDescent="0.2">
      <c r="D141" s="1"/>
    </row>
    <row r="142" spans="1:4" x14ac:dyDescent="0.2">
      <c r="D142" s="1"/>
    </row>
    <row r="143" spans="1:4" x14ac:dyDescent="0.2">
      <c r="D143" s="1"/>
    </row>
    <row r="144" spans="1:4" x14ac:dyDescent="0.2">
      <c r="D144" s="1"/>
    </row>
    <row r="145" spans="1:4" x14ac:dyDescent="0.2">
      <c r="A145" t="s">
        <v>3</v>
      </c>
      <c r="B145" t="s">
        <v>24</v>
      </c>
      <c r="C145">
        <v>6</v>
      </c>
      <c r="D145" s="1">
        <v>124704</v>
      </c>
    </row>
    <row r="146" spans="1:4" x14ac:dyDescent="0.2">
      <c r="A146" t="s">
        <v>4</v>
      </c>
      <c r="B146" t="s">
        <v>24</v>
      </c>
      <c r="C146">
        <v>6</v>
      </c>
      <c r="D146" s="1">
        <v>2199.34</v>
      </c>
    </row>
    <row r="147" spans="1:4" x14ac:dyDescent="0.2">
      <c r="A147" t="s">
        <v>5</v>
      </c>
      <c r="B147" t="s">
        <v>24</v>
      </c>
      <c r="C147">
        <v>6</v>
      </c>
      <c r="D147" s="1">
        <v>7762.5</v>
      </c>
    </row>
    <row r="148" spans="1:4" x14ac:dyDescent="0.2">
      <c r="A148" t="s">
        <v>6</v>
      </c>
      <c r="B148" t="s">
        <v>24</v>
      </c>
      <c r="C148">
        <v>6</v>
      </c>
      <c r="D148" s="1">
        <v>1499.2</v>
      </c>
    </row>
    <row r="149" spans="1:4" x14ac:dyDescent="0.2">
      <c r="A149" t="s">
        <v>7</v>
      </c>
      <c r="B149" t="s">
        <v>24</v>
      </c>
      <c r="C149">
        <v>6</v>
      </c>
      <c r="D149" s="1">
        <v>368989</v>
      </c>
    </row>
    <row r="150" spans="1:4" x14ac:dyDescent="0.2">
      <c r="A150" t="s">
        <v>8</v>
      </c>
      <c r="B150" t="s">
        <v>24</v>
      </c>
      <c r="C150">
        <v>6</v>
      </c>
      <c r="D150" s="1">
        <v>6723.5</v>
      </c>
    </row>
    <row r="151" spans="1:4" x14ac:dyDescent="0.2">
      <c r="A151" t="s">
        <v>9</v>
      </c>
      <c r="B151" t="s">
        <v>24</v>
      </c>
      <c r="C151">
        <v>6</v>
      </c>
      <c r="D151" s="1">
        <v>38626</v>
      </c>
    </row>
    <row r="152" spans="1:4" x14ac:dyDescent="0.2">
      <c r="A152" t="s">
        <v>12</v>
      </c>
      <c r="B152" t="s">
        <v>24</v>
      </c>
      <c r="C152">
        <v>6</v>
      </c>
      <c r="D152" s="1">
        <v>1530150.91</v>
      </c>
    </row>
    <row r="153" spans="1:4" x14ac:dyDescent="0.2">
      <c r="A153" t="s">
        <v>14</v>
      </c>
      <c r="B153" t="s">
        <v>24</v>
      </c>
      <c r="C153">
        <v>6</v>
      </c>
      <c r="D153" s="1">
        <v>184296</v>
      </c>
    </row>
    <row r="154" spans="1:4" x14ac:dyDescent="0.2">
      <c r="A154" t="s">
        <v>15</v>
      </c>
      <c r="B154" t="s">
        <v>24</v>
      </c>
      <c r="C154">
        <v>6</v>
      </c>
      <c r="D154" s="1">
        <v>33432</v>
      </c>
    </row>
    <row r="155" spans="1:4" x14ac:dyDescent="0.2">
      <c r="A155" t="s">
        <v>16</v>
      </c>
      <c r="B155" t="s">
        <v>24</v>
      </c>
      <c r="C155">
        <v>6</v>
      </c>
      <c r="D155" s="1">
        <v>21190.44</v>
      </c>
    </row>
    <row r="156" spans="1:4" x14ac:dyDescent="0.2">
      <c r="A156" t="s">
        <v>17</v>
      </c>
      <c r="B156" t="s">
        <v>24</v>
      </c>
      <c r="C156">
        <v>6</v>
      </c>
      <c r="D156" s="1">
        <v>21190.44</v>
      </c>
    </row>
    <row r="157" spans="1:4" x14ac:dyDescent="0.2">
      <c r="A157" t="s">
        <v>18</v>
      </c>
      <c r="B157" t="s">
        <v>24</v>
      </c>
      <c r="C157">
        <v>6</v>
      </c>
      <c r="D157" s="1">
        <v>1499.2</v>
      </c>
    </row>
    <row r="158" spans="1:4" x14ac:dyDescent="0.2">
      <c r="A158" t="s">
        <v>19</v>
      </c>
      <c r="B158" t="s">
        <v>24</v>
      </c>
      <c r="C158">
        <v>6</v>
      </c>
      <c r="D158" s="1">
        <v>2199.34</v>
      </c>
    </row>
    <row r="159" spans="1:4" x14ac:dyDescent="0.2">
      <c r="A159" t="s">
        <v>20</v>
      </c>
      <c r="B159" t="s">
        <v>24</v>
      </c>
      <c r="C159">
        <v>6</v>
      </c>
      <c r="D159" s="1">
        <v>38626</v>
      </c>
    </row>
    <row r="160" spans="1:4" x14ac:dyDescent="0.2">
      <c r="A160" t="s">
        <v>21</v>
      </c>
      <c r="B160" t="s">
        <v>24</v>
      </c>
      <c r="C160">
        <v>6</v>
      </c>
      <c r="D160" s="1">
        <v>49280</v>
      </c>
    </row>
    <row r="161" spans="1:4" x14ac:dyDescent="0.2">
      <c r="A161" t="s">
        <v>22</v>
      </c>
      <c r="B161" t="s">
        <v>24</v>
      </c>
      <c r="C161">
        <v>6</v>
      </c>
      <c r="D161" s="1">
        <v>6120</v>
      </c>
    </row>
    <row r="162" spans="1:4" x14ac:dyDescent="0.2">
      <c r="D162" s="1"/>
    </row>
    <row r="163" spans="1:4" x14ac:dyDescent="0.2">
      <c r="D163" s="1"/>
    </row>
    <row r="164" spans="1:4" x14ac:dyDescent="0.2">
      <c r="D164" s="1"/>
    </row>
    <row r="165" spans="1:4" x14ac:dyDescent="0.2">
      <c r="D165" s="1"/>
    </row>
    <row r="166" spans="1:4" x14ac:dyDescent="0.2">
      <c r="D166" s="1"/>
    </row>
    <row r="167" spans="1:4" x14ac:dyDescent="0.2">
      <c r="D167" s="1"/>
    </row>
    <row r="168" spans="1:4" x14ac:dyDescent="0.2">
      <c r="D168" s="1"/>
    </row>
    <row r="169" spans="1:4" x14ac:dyDescent="0.2">
      <c r="D169" s="1"/>
    </row>
    <row r="170" spans="1:4" x14ac:dyDescent="0.2">
      <c r="D170" s="1"/>
    </row>
    <row r="171" spans="1:4" x14ac:dyDescent="0.2">
      <c r="D171" s="1"/>
    </row>
    <row r="172" spans="1:4" x14ac:dyDescent="0.2">
      <c r="D172" s="1"/>
    </row>
    <row r="173" spans="1:4" x14ac:dyDescent="0.2">
      <c r="A173" t="s">
        <v>3</v>
      </c>
      <c r="B173" t="s">
        <v>24</v>
      </c>
      <c r="C173">
        <v>7</v>
      </c>
      <c r="D173" s="1">
        <v>124704</v>
      </c>
    </row>
    <row r="174" spans="1:4" x14ac:dyDescent="0.2">
      <c r="A174" t="s">
        <v>4</v>
      </c>
      <c r="B174" t="s">
        <v>24</v>
      </c>
      <c r="C174">
        <v>7</v>
      </c>
      <c r="D174" s="1">
        <v>2199.34</v>
      </c>
    </row>
    <row r="175" spans="1:4" x14ac:dyDescent="0.2">
      <c r="A175" t="s">
        <v>5</v>
      </c>
      <c r="B175" t="s">
        <v>24</v>
      </c>
      <c r="C175">
        <v>7</v>
      </c>
      <c r="D175" s="1">
        <v>7762.5</v>
      </c>
    </row>
    <row r="176" spans="1:4" x14ac:dyDescent="0.2">
      <c r="A176" t="s">
        <v>6</v>
      </c>
      <c r="B176" t="s">
        <v>24</v>
      </c>
      <c r="C176">
        <v>7</v>
      </c>
      <c r="D176" s="1">
        <v>1499.2</v>
      </c>
    </row>
    <row r="177" spans="1:4" x14ac:dyDescent="0.2">
      <c r="A177" t="s">
        <v>7</v>
      </c>
      <c r="B177" t="s">
        <v>24</v>
      </c>
      <c r="C177">
        <v>7</v>
      </c>
      <c r="D177" s="1">
        <v>368989</v>
      </c>
    </row>
    <row r="178" spans="1:4" x14ac:dyDescent="0.2">
      <c r="A178" t="s">
        <v>8</v>
      </c>
      <c r="B178" t="s">
        <v>24</v>
      </c>
      <c r="C178">
        <v>7</v>
      </c>
      <c r="D178" s="1">
        <v>6723.5</v>
      </c>
    </row>
    <row r="179" spans="1:4" x14ac:dyDescent="0.2">
      <c r="A179" t="s">
        <v>9</v>
      </c>
      <c r="B179" t="s">
        <v>24</v>
      </c>
      <c r="C179">
        <v>7</v>
      </c>
      <c r="D179" s="1">
        <v>38626</v>
      </c>
    </row>
    <row r="180" spans="1:4" x14ac:dyDescent="0.2">
      <c r="A180" t="s">
        <v>12</v>
      </c>
      <c r="B180" t="s">
        <v>24</v>
      </c>
      <c r="C180">
        <v>7</v>
      </c>
      <c r="D180" s="1">
        <v>1530150.91</v>
      </c>
    </row>
    <row r="181" spans="1:4" x14ac:dyDescent="0.2">
      <c r="A181" t="s">
        <v>14</v>
      </c>
      <c r="B181" t="s">
        <v>24</v>
      </c>
      <c r="C181">
        <v>7</v>
      </c>
      <c r="D181" s="1">
        <v>184296</v>
      </c>
    </row>
    <row r="182" spans="1:4" x14ac:dyDescent="0.2">
      <c r="A182" t="s">
        <v>15</v>
      </c>
      <c r="B182" t="s">
        <v>24</v>
      </c>
      <c r="C182">
        <v>7</v>
      </c>
      <c r="D182" s="1">
        <v>33432</v>
      </c>
    </row>
    <row r="183" spans="1:4" x14ac:dyDescent="0.2">
      <c r="A183" t="s">
        <v>16</v>
      </c>
      <c r="B183" t="s">
        <v>24</v>
      </c>
      <c r="C183">
        <v>7</v>
      </c>
      <c r="D183" s="1">
        <v>21190.44</v>
      </c>
    </row>
    <row r="184" spans="1:4" x14ac:dyDescent="0.2">
      <c r="A184" t="s">
        <v>17</v>
      </c>
      <c r="B184" t="s">
        <v>24</v>
      </c>
      <c r="C184">
        <v>7</v>
      </c>
      <c r="D184" s="1">
        <v>21190.44</v>
      </c>
    </row>
    <row r="185" spans="1:4" x14ac:dyDescent="0.2">
      <c r="A185" t="s">
        <v>18</v>
      </c>
      <c r="B185" t="s">
        <v>24</v>
      </c>
      <c r="C185">
        <v>7</v>
      </c>
      <c r="D185" s="1">
        <v>1499.2</v>
      </c>
    </row>
    <row r="186" spans="1:4" x14ac:dyDescent="0.2">
      <c r="A186" t="s">
        <v>19</v>
      </c>
      <c r="B186" t="s">
        <v>24</v>
      </c>
      <c r="C186">
        <v>7</v>
      </c>
      <c r="D186" s="1">
        <v>2199.34</v>
      </c>
    </row>
    <row r="187" spans="1:4" x14ac:dyDescent="0.2">
      <c r="A187" t="s">
        <v>20</v>
      </c>
      <c r="B187" t="s">
        <v>24</v>
      </c>
      <c r="C187">
        <v>7</v>
      </c>
      <c r="D187" s="1">
        <v>38626</v>
      </c>
    </row>
    <row r="188" spans="1:4" x14ac:dyDescent="0.2">
      <c r="A188" t="s">
        <v>21</v>
      </c>
      <c r="B188" t="s">
        <v>24</v>
      </c>
      <c r="C188">
        <v>7</v>
      </c>
      <c r="D188" s="1">
        <v>49280</v>
      </c>
    </row>
    <row r="189" spans="1:4" x14ac:dyDescent="0.2">
      <c r="A189" t="s">
        <v>22</v>
      </c>
      <c r="B189" t="s">
        <v>24</v>
      </c>
      <c r="C189">
        <v>7</v>
      </c>
      <c r="D189" s="1">
        <v>6120</v>
      </c>
    </row>
    <row r="190" spans="1:4" x14ac:dyDescent="0.2">
      <c r="D190" s="1"/>
    </row>
    <row r="191" spans="1:4" x14ac:dyDescent="0.2">
      <c r="D191" s="1"/>
    </row>
    <row r="192" spans="1:4" x14ac:dyDescent="0.2">
      <c r="D192" s="1"/>
    </row>
    <row r="193" spans="1:4" x14ac:dyDescent="0.2">
      <c r="D193" s="1"/>
    </row>
    <row r="194" spans="1:4" x14ac:dyDescent="0.2">
      <c r="D194" s="1"/>
    </row>
    <row r="195" spans="1:4" x14ac:dyDescent="0.2">
      <c r="D195" s="1"/>
    </row>
    <row r="196" spans="1:4" x14ac:dyDescent="0.2">
      <c r="D196" s="1"/>
    </row>
    <row r="197" spans="1:4" x14ac:dyDescent="0.2">
      <c r="D197" s="1"/>
    </row>
    <row r="198" spans="1:4" x14ac:dyDescent="0.2">
      <c r="D198" s="1"/>
    </row>
    <row r="199" spans="1:4" x14ac:dyDescent="0.2">
      <c r="D199" s="1"/>
    </row>
    <row r="200" spans="1:4" x14ac:dyDescent="0.2">
      <c r="D200" s="1"/>
    </row>
    <row r="201" spans="1:4" x14ac:dyDescent="0.2">
      <c r="A201" t="s">
        <v>3</v>
      </c>
      <c r="B201" t="s">
        <v>24</v>
      </c>
      <c r="C201">
        <v>8</v>
      </c>
      <c r="D201" s="1">
        <v>124704</v>
      </c>
    </row>
    <row r="202" spans="1:4" x14ac:dyDescent="0.2">
      <c r="A202" t="s">
        <v>4</v>
      </c>
      <c r="B202" t="s">
        <v>24</v>
      </c>
      <c r="C202">
        <v>8</v>
      </c>
      <c r="D202" s="1">
        <v>2199.34</v>
      </c>
    </row>
    <row r="203" spans="1:4" x14ac:dyDescent="0.2">
      <c r="A203" t="s">
        <v>5</v>
      </c>
      <c r="B203" t="s">
        <v>24</v>
      </c>
      <c r="C203">
        <v>8</v>
      </c>
      <c r="D203" s="1">
        <v>7762.5</v>
      </c>
    </row>
    <row r="204" spans="1:4" x14ac:dyDescent="0.2">
      <c r="A204" t="s">
        <v>6</v>
      </c>
      <c r="B204" t="s">
        <v>24</v>
      </c>
      <c r="C204">
        <v>8</v>
      </c>
      <c r="D204" s="1">
        <v>1499.2</v>
      </c>
    </row>
    <row r="205" spans="1:4" x14ac:dyDescent="0.2">
      <c r="A205" t="s">
        <v>7</v>
      </c>
      <c r="B205" t="s">
        <v>24</v>
      </c>
      <c r="C205">
        <v>8</v>
      </c>
      <c r="D205" s="1">
        <v>368989</v>
      </c>
    </row>
    <row r="206" spans="1:4" x14ac:dyDescent="0.2">
      <c r="A206" t="s">
        <v>8</v>
      </c>
      <c r="B206" t="s">
        <v>24</v>
      </c>
      <c r="C206">
        <v>8</v>
      </c>
      <c r="D206" s="1">
        <v>6723.5</v>
      </c>
    </row>
    <row r="207" spans="1:4" x14ac:dyDescent="0.2">
      <c r="A207" t="s">
        <v>9</v>
      </c>
      <c r="B207" t="s">
        <v>24</v>
      </c>
      <c r="C207">
        <v>8</v>
      </c>
      <c r="D207" s="1">
        <v>38626</v>
      </c>
    </row>
    <row r="208" spans="1:4" x14ac:dyDescent="0.2">
      <c r="A208" t="s">
        <v>12</v>
      </c>
      <c r="B208" t="s">
        <v>24</v>
      </c>
      <c r="C208">
        <v>8</v>
      </c>
      <c r="D208" s="1">
        <v>1530150.91</v>
      </c>
    </row>
    <row r="209" spans="1:4" x14ac:dyDescent="0.2">
      <c r="A209" t="s">
        <v>14</v>
      </c>
      <c r="B209" t="s">
        <v>24</v>
      </c>
      <c r="C209">
        <v>8</v>
      </c>
      <c r="D209" s="1">
        <v>184296</v>
      </c>
    </row>
    <row r="210" spans="1:4" x14ac:dyDescent="0.2">
      <c r="A210" t="s">
        <v>15</v>
      </c>
      <c r="B210" t="s">
        <v>24</v>
      </c>
      <c r="C210">
        <v>8</v>
      </c>
      <c r="D210" s="1">
        <v>33432</v>
      </c>
    </row>
    <row r="211" spans="1:4" x14ac:dyDescent="0.2">
      <c r="A211" t="s">
        <v>16</v>
      </c>
      <c r="B211" t="s">
        <v>24</v>
      </c>
      <c r="C211">
        <v>8</v>
      </c>
      <c r="D211" s="1">
        <v>21190.44</v>
      </c>
    </row>
    <row r="212" spans="1:4" x14ac:dyDescent="0.2">
      <c r="A212" t="s">
        <v>17</v>
      </c>
      <c r="B212" t="s">
        <v>24</v>
      </c>
      <c r="C212">
        <v>8</v>
      </c>
      <c r="D212" s="1">
        <v>21190.44</v>
      </c>
    </row>
    <row r="213" spans="1:4" x14ac:dyDescent="0.2">
      <c r="A213" t="s">
        <v>18</v>
      </c>
      <c r="B213" t="s">
        <v>24</v>
      </c>
      <c r="C213">
        <v>8</v>
      </c>
      <c r="D213" s="1">
        <v>1499.2</v>
      </c>
    </row>
    <row r="214" spans="1:4" x14ac:dyDescent="0.2">
      <c r="A214" t="s">
        <v>19</v>
      </c>
      <c r="B214" t="s">
        <v>24</v>
      </c>
      <c r="C214">
        <v>8</v>
      </c>
      <c r="D214" s="1">
        <v>2199.34</v>
      </c>
    </row>
    <row r="215" spans="1:4" x14ac:dyDescent="0.2">
      <c r="A215" t="s">
        <v>20</v>
      </c>
      <c r="B215" t="s">
        <v>24</v>
      </c>
      <c r="C215">
        <v>8</v>
      </c>
      <c r="D215" s="1">
        <v>38626</v>
      </c>
    </row>
    <row r="216" spans="1:4" x14ac:dyDescent="0.2">
      <c r="A216" t="s">
        <v>21</v>
      </c>
      <c r="B216" t="s">
        <v>24</v>
      </c>
      <c r="C216">
        <v>8</v>
      </c>
      <c r="D216" s="1">
        <v>49280</v>
      </c>
    </row>
    <row r="217" spans="1:4" x14ac:dyDescent="0.2">
      <c r="A217" t="s">
        <v>22</v>
      </c>
      <c r="B217" t="s">
        <v>24</v>
      </c>
      <c r="C217">
        <v>8</v>
      </c>
      <c r="D217" s="1">
        <v>6120</v>
      </c>
    </row>
    <row r="218" spans="1:4" x14ac:dyDescent="0.2">
      <c r="D218" s="1"/>
    </row>
    <row r="219" spans="1:4" x14ac:dyDescent="0.2">
      <c r="D219" s="1"/>
    </row>
    <row r="220" spans="1:4" x14ac:dyDescent="0.2">
      <c r="D220" s="1"/>
    </row>
    <row r="221" spans="1:4" x14ac:dyDescent="0.2">
      <c r="D221" s="1"/>
    </row>
    <row r="222" spans="1:4" x14ac:dyDescent="0.2">
      <c r="D222" s="1"/>
    </row>
    <row r="223" spans="1:4" x14ac:dyDescent="0.2">
      <c r="D223" s="1"/>
    </row>
    <row r="224" spans="1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</sheetData>
  <autoFilter ref="A1:D235" xr:uid="{487EB174-1CE9-490E-86AA-BC984A9FE90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8"/>
  <sheetViews>
    <sheetView workbookViewId="0">
      <selection activeCell="A22" sqref="A22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4" max="4" width="24.6640625" customWidth="1"/>
  </cols>
  <sheetData>
    <row r="1" spans="1:4" x14ac:dyDescent="0.2">
      <c r="A1" t="s">
        <v>43</v>
      </c>
    </row>
    <row r="2" spans="1:4" x14ac:dyDescent="0.2">
      <c r="A2" t="s">
        <v>45</v>
      </c>
    </row>
    <row r="3" spans="1:4" x14ac:dyDescent="0.2">
      <c r="A3" t="s">
        <v>23</v>
      </c>
      <c r="B3" t="s">
        <v>2</v>
      </c>
      <c r="C3" t="s">
        <v>0</v>
      </c>
      <c r="D3" t="s">
        <v>29</v>
      </c>
    </row>
    <row r="4" spans="1:4" x14ac:dyDescent="0.2">
      <c r="A4" t="s">
        <v>3</v>
      </c>
      <c r="B4" t="s">
        <v>24</v>
      </c>
      <c r="C4">
        <v>1</v>
      </c>
      <c r="D4" s="1">
        <v>500000</v>
      </c>
    </row>
    <row r="5" spans="1:4" x14ac:dyDescent="0.2">
      <c r="A5" t="s">
        <v>4</v>
      </c>
      <c r="B5" t="s">
        <v>24</v>
      </c>
      <c r="C5">
        <v>1</v>
      </c>
      <c r="D5" s="1">
        <v>500000</v>
      </c>
    </row>
    <row r="6" spans="1:4" x14ac:dyDescent="0.2">
      <c r="A6" t="s">
        <v>5</v>
      </c>
      <c r="B6" t="s">
        <v>24</v>
      </c>
      <c r="C6">
        <v>1</v>
      </c>
      <c r="D6" s="1">
        <v>500000</v>
      </c>
    </row>
    <row r="7" spans="1:4" x14ac:dyDescent="0.2">
      <c r="A7" t="s">
        <v>6</v>
      </c>
      <c r="B7" t="s">
        <v>24</v>
      </c>
      <c r="C7">
        <v>1</v>
      </c>
      <c r="D7" s="1">
        <v>500000</v>
      </c>
    </row>
    <row r="8" spans="1:4" x14ac:dyDescent="0.2">
      <c r="A8" t="s">
        <v>7</v>
      </c>
      <c r="B8" t="s">
        <v>24</v>
      </c>
      <c r="C8">
        <v>1</v>
      </c>
      <c r="D8" s="1">
        <v>500000</v>
      </c>
    </row>
    <row r="9" spans="1:4" x14ac:dyDescent="0.2">
      <c r="A9" t="s">
        <v>8</v>
      </c>
      <c r="B9" t="s">
        <v>24</v>
      </c>
      <c r="C9">
        <v>1</v>
      </c>
      <c r="D9" s="1">
        <v>500000</v>
      </c>
    </row>
    <row r="10" spans="1:4" x14ac:dyDescent="0.2">
      <c r="A10" t="s">
        <v>9</v>
      </c>
      <c r="B10" t="s">
        <v>24</v>
      </c>
      <c r="C10">
        <v>1</v>
      </c>
      <c r="D10" s="1">
        <v>500000</v>
      </c>
    </row>
    <row r="11" spans="1:4" x14ac:dyDescent="0.2">
      <c r="A11" t="s">
        <v>12</v>
      </c>
      <c r="B11" t="s">
        <v>24</v>
      </c>
      <c r="C11">
        <v>1</v>
      </c>
      <c r="D11" s="1">
        <v>500000</v>
      </c>
    </row>
    <row r="12" spans="1:4" x14ac:dyDescent="0.2">
      <c r="A12" t="s">
        <v>13</v>
      </c>
      <c r="B12" t="s">
        <v>24</v>
      </c>
      <c r="C12">
        <v>1</v>
      </c>
      <c r="D12" s="1">
        <v>500000</v>
      </c>
    </row>
    <row r="13" spans="1:4" x14ac:dyDescent="0.2">
      <c r="A13" t="s">
        <v>14</v>
      </c>
      <c r="B13" t="s">
        <v>24</v>
      </c>
      <c r="C13">
        <v>1</v>
      </c>
      <c r="D13" s="1">
        <v>500000</v>
      </c>
    </row>
    <row r="14" spans="1:4" x14ac:dyDescent="0.2">
      <c r="A14" t="s">
        <v>15</v>
      </c>
      <c r="B14" t="s">
        <v>24</v>
      </c>
      <c r="C14">
        <v>1</v>
      </c>
      <c r="D14" s="1">
        <v>500000</v>
      </c>
    </row>
    <row r="15" spans="1:4" x14ac:dyDescent="0.2">
      <c r="A15" t="s">
        <v>16</v>
      </c>
      <c r="B15" t="s">
        <v>24</v>
      </c>
      <c r="C15">
        <v>1</v>
      </c>
      <c r="D15" s="1">
        <v>500000</v>
      </c>
    </row>
    <row r="16" spans="1:4" x14ac:dyDescent="0.2">
      <c r="A16" t="s">
        <v>17</v>
      </c>
      <c r="B16" t="s">
        <v>24</v>
      </c>
      <c r="C16">
        <v>1</v>
      </c>
      <c r="D16" s="1">
        <v>500000</v>
      </c>
    </row>
    <row r="17" spans="1:4" x14ac:dyDescent="0.2">
      <c r="A17" t="s">
        <v>18</v>
      </c>
      <c r="B17" t="s">
        <v>24</v>
      </c>
      <c r="C17">
        <v>1</v>
      </c>
      <c r="D17" s="1">
        <v>500000</v>
      </c>
    </row>
    <row r="18" spans="1:4" x14ac:dyDescent="0.2">
      <c r="A18" t="s">
        <v>19</v>
      </c>
      <c r="B18" t="s">
        <v>24</v>
      </c>
      <c r="C18">
        <v>1</v>
      </c>
      <c r="D18" s="1">
        <v>500000</v>
      </c>
    </row>
    <row r="19" spans="1:4" x14ac:dyDescent="0.2">
      <c r="A19" t="s">
        <v>20</v>
      </c>
      <c r="B19" t="s">
        <v>24</v>
      </c>
      <c r="C19">
        <v>1</v>
      </c>
      <c r="D19" s="1">
        <v>500000</v>
      </c>
    </row>
    <row r="20" spans="1:4" x14ac:dyDescent="0.2">
      <c r="A20" t="s">
        <v>21</v>
      </c>
      <c r="B20" t="s">
        <v>24</v>
      </c>
      <c r="C20">
        <v>1</v>
      </c>
      <c r="D20" s="1">
        <v>500000</v>
      </c>
    </row>
    <row r="21" spans="1:4" x14ac:dyDescent="0.2">
      <c r="A21" t="s">
        <v>22</v>
      </c>
      <c r="B21" t="s">
        <v>24</v>
      </c>
      <c r="C21">
        <v>1</v>
      </c>
      <c r="D21" s="1">
        <v>500000</v>
      </c>
    </row>
    <row r="22" spans="1:4" x14ac:dyDescent="0.2">
      <c r="D22" s="1"/>
    </row>
    <row r="23" spans="1:4" x14ac:dyDescent="0.2">
      <c r="D23" s="1"/>
    </row>
    <row r="24" spans="1:4" x14ac:dyDescent="0.2">
      <c r="D24" s="1"/>
    </row>
    <row r="25" spans="1:4" x14ac:dyDescent="0.2">
      <c r="D25" s="1"/>
    </row>
    <row r="26" spans="1:4" x14ac:dyDescent="0.2">
      <c r="D26" s="1"/>
    </row>
    <row r="27" spans="1:4" x14ac:dyDescent="0.2">
      <c r="D27" s="1"/>
    </row>
    <row r="28" spans="1:4" x14ac:dyDescent="0.2">
      <c r="D28" s="1"/>
    </row>
    <row r="29" spans="1:4" x14ac:dyDescent="0.2">
      <c r="D29" s="1"/>
    </row>
    <row r="30" spans="1:4" x14ac:dyDescent="0.2">
      <c r="D30" s="1"/>
    </row>
    <row r="31" spans="1:4" x14ac:dyDescent="0.2">
      <c r="D31" s="1"/>
    </row>
    <row r="32" spans="1:4" x14ac:dyDescent="0.2">
      <c r="D32" s="1"/>
    </row>
    <row r="33" spans="1:4" x14ac:dyDescent="0.2">
      <c r="D33" s="1"/>
    </row>
    <row r="34" spans="1:4" x14ac:dyDescent="0.2">
      <c r="A34" t="s">
        <v>3</v>
      </c>
      <c r="B34" t="s">
        <v>1</v>
      </c>
      <c r="C34">
        <v>1</v>
      </c>
      <c r="D34" s="1">
        <v>500000</v>
      </c>
    </row>
    <row r="35" spans="1:4" x14ac:dyDescent="0.2">
      <c r="A35" t="s">
        <v>4</v>
      </c>
      <c r="B35" t="s">
        <v>1</v>
      </c>
      <c r="C35">
        <v>1</v>
      </c>
      <c r="D35" s="1">
        <v>500000</v>
      </c>
    </row>
    <row r="36" spans="1:4" x14ac:dyDescent="0.2">
      <c r="A36" t="s">
        <v>5</v>
      </c>
      <c r="B36" t="s">
        <v>1</v>
      </c>
      <c r="C36">
        <v>1</v>
      </c>
      <c r="D36" s="1">
        <v>500000</v>
      </c>
    </row>
    <row r="37" spans="1:4" x14ac:dyDescent="0.2">
      <c r="A37" t="s">
        <v>6</v>
      </c>
      <c r="B37" t="s">
        <v>1</v>
      </c>
      <c r="C37">
        <v>1</v>
      </c>
      <c r="D37" s="1">
        <v>500000</v>
      </c>
    </row>
    <row r="38" spans="1:4" x14ac:dyDescent="0.2">
      <c r="A38" t="s">
        <v>7</v>
      </c>
      <c r="B38" t="s">
        <v>1</v>
      </c>
      <c r="C38">
        <v>1</v>
      </c>
      <c r="D38" s="1">
        <v>500000</v>
      </c>
    </row>
    <row r="39" spans="1:4" x14ac:dyDescent="0.2">
      <c r="A39" t="s">
        <v>8</v>
      </c>
      <c r="B39" t="s">
        <v>1</v>
      </c>
      <c r="C39">
        <v>1</v>
      </c>
      <c r="D39" s="1">
        <v>500000</v>
      </c>
    </row>
    <row r="40" spans="1:4" x14ac:dyDescent="0.2">
      <c r="A40" t="s">
        <v>9</v>
      </c>
      <c r="B40" t="s">
        <v>1</v>
      </c>
      <c r="C40">
        <v>1</v>
      </c>
      <c r="D40" s="1">
        <v>500000</v>
      </c>
    </row>
    <row r="41" spans="1:4" x14ac:dyDescent="0.2">
      <c r="A41" t="s">
        <v>10</v>
      </c>
      <c r="B41" t="s">
        <v>1</v>
      </c>
      <c r="C41">
        <v>1</v>
      </c>
      <c r="D41" s="1">
        <v>500000</v>
      </c>
    </row>
    <row r="42" spans="1:4" x14ac:dyDescent="0.2">
      <c r="A42" t="s">
        <v>11</v>
      </c>
      <c r="B42" t="s">
        <v>1</v>
      </c>
      <c r="C42">
        <v>1</v>
      </c>
      <c r="D42" s="1">
        <v>500000</v>
      </c>
    </row>
    <row r="43" spans="1:4" x14ac:dyDescent="0.2">
      <c r="A43" t="s">
        <v>12</v>
      </c>
      <c r="B43" t="s">
        <v>1</v>
      </c>
      <c r="C43">
        <v>1</v>
      </c>
      <c r="D43" s="1">
        <v>500000</v>
      </c>
    </row>
    <row r="44" spans="1:4" x14ac:dyDescent="0.2">
      <c r="A44" t="s">
        <v>13</v>
      </c>
      <c r="B44" t="s">
        <v>1</v>
      </c>
      <c r="C44">
        <v>1</v>
      </c>
      <c r="D44" s="1">
        <v>500000</v>
      </c>
    </row>
    <row r="45" spans="1:4" x14ac:dyDescent="0.2">
      <c r="A45" t="s">
        <v>14</v>
      </c>
      <c r="B45" t="s">
        <v>1</v>
      </c>
      <c r="C45">
        <v>1</v>
      </c>
      <c r="D45" s="1">
        <v>500000</v>
      </c>
    </row>
    <row r="46" spans="1:4" x14ac:dyDescent="0.2">
      <c r="A46" t="s">
        <v>15</v>
      </c>
      <c r="B46" t="s">
        <v>1</v>
      </c>
      <c r="C46">
        <v>1</v>
      </c>
      <c r="D46" s="1">
        <v>500000</v>
      </c>
    </row>
    <row r="47" spans="1:4" x14ac:dyDescent="0.2">
      <c r="A47" t="s">
        <v>16</v>
      </c>
      <c r="B47" t="s">
        <v>1</v>
      </c>
      <c r="C47">
        <v>1</v>
      </c>
      <c r="D47" s="1">
        <v>500000</v>
      </c>
    </row>
    <row r="48" spans="1:4" x14ac:dyDescent="0.2">
      <c r="A48" t="s">
        <v>17</v>
      </c>
      <c r="B48" t="s">
        <v>1</v>
      </c>
      <c r="C48">
        <v>1</v>
      </c>
      <c r="D48" s="1">
        <v>500000</v>
      </c>
    </row>
    <row r="49" spans="1:4" x14ac:dyDescent="0.2">
      <c r="A49" t="s">
        <v>18</v>
      </c>
      <c r="B49" t="s">
        <v>1</v>
      </c>
      <c r="C49">
        <v>1</v>
      </c>
      <c r="D49" s="1">
        <v>500000</v>
      </c>
    </row>
    <row r="50" spans="1:4" x14ac:dyDescent="0.2">
      <c r="A50" t="s">
        <v>19</v>
      </c>
      <c r="B50" t="s">
        <v>1</v>
      </c>
      <c r="C50">
        <v>1</v>
      </c>
      <c r="D50" s="1">
        <v>500000</v>
      </c>
    </row>
    <row r="51" spans="1:4" x14ac:dyDescent="0.2">
      <c r="A51" t="s">
        <v>20</v>
      </c>
      <c r="B51" t="s">
        <v>1</v>
      </c>
      <c r="C51">
        <v>1</v>
      </c>
      <c r="D51" s="1">
        <v>500000</v>
      </c>
    </row>
    <row r="52" spans="1:4" x14ac:dyDescent="0.2">
      <c r="A52" t="s">
        <v>21</v>
      </c>
      <c r="B52" t="s">
        <v>1</v>
      </c>
      <c r="C52">
        <v>1</v>
      </c>
      <c r="D52" s="1">
        <v>500000</v>
      </c>
    </row>
    <row r="53" spans="1:4" x14ac:dyDescent="0.2">
      <c r="A53" t="s">
        <v>22</v>
      </c>
      <c r="B53" t="s">
        <v>1</v>
      </c>
      <c r="C53">
        <v>1</v>
      </c>
      <c r="D53" s="1">
        <v>500000</v>
      </c>
    </row>
    <row r="54" spans="1:4" x14ac:dyDescent="0.2">
      <c r="D54" s="1"/>
    </row>
    <row r="55" spans="1:4" x14ac:dyDescent="0.2">
      <c r="D55" s="1"/>
    </row>
    <row r="56" spans="1:4" x14ac:dyDescent="0.2">
      <c r="D56" s="1"/>
    </row>
    <row r="57" spans="1:4" x14ac:dyDescent="0.2">
      <c r="D57" s="1"/>
    </row>
    <row r="58" spans="1:4" x14ac:dyDescent="0.2">
      <c r="D58" s="1"/>
    </row>
    <row r="59" spans="1:4" x14ac:dyDescent="0.2">
      <c r="D59" s="1"/>
    </row>
    <row r="60" spans="1:4" x14ac:dyDescent="0.2">
      <c r="D60" s="1"/>
    </row>
    <row r="61" spans="1:4" x14ac:dyDescent="0.2">
      <c r="D61" s="1"/>
    </row>
    <row r="62" spans="1:4" x14ac:dyDescent="0.2">
      <c r="D62" s="1"/>
    </row>
    <row r="63" spans="1:4" x14ac:dyDescent="0.2">
      <c r="D63" s="1"/>
    </row>
    <row r="64" spans="1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</sheetData>
  <autoFilter ref="A1:D68" xr:uid="{E972AC0D-2B9F-477E-964C-84976D50A74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>
      <selection activeCell="B75" sqref="B75"/>
    </sheetView>
  </sheetViews>
  <sheetFormatPr baseColWidth="10" defaultColWidth="9.1640625" defaultRowHeight="15" x14ac:dyDescent="0.2"/>
  <cols>
    <col min="1" max="1" width="12" bestFit="1" customWidth="1"/>
    <col min="2" max="2" width="19.1640625" bestFit="1" customWidth="1"/>
    <col min="3" max="3" width="27.1640625" customWidth="1"/>
    <col min="4" max="4" width="10.1640625" bestFit="1" customWidth="1"/>
  </cols>
  <sheetData>
    <row r="1" spans="1:3" x14ac:dyDescent="0.2">
      <c r="A1" t="s">
        <v>63</v>
      </c>
    </row>
    <row r="2" spans="1:3" x14ac:dyDescent="0.2">
      <c r="A2" t="s">
        <v>52</v>
      </c>
    </row>
    <row r="3" spans="1:3" x14ac:dyDescent="0.2">
      <c r="A3" s="3" t="s">
        <v>23</v>
      </c>
      <c r="B3" t="s">
        <v>2</v>
      </c>
      <c r="C3" t="s">
        <v>28</v>
      </c>
    </row>
    <row r="4" spans="1:3" x14ac:dyDescent="0.2">
      <c r="A4" t="s">
        <v>3</v>
      </c>
      <c r="B4" t="s">
        <v>24</v>
      </c>
      <c r="C4" s="1">
        <f>EnergyInitialCapacity!D4*1.1</f>
        <v>137174.40000000002</v>
      </c>
    </row>
    <row r="5" spans="1:3" x14ac:dyDescent="0.2">
      <c r="A5" t="s">
        <v>4</v>
      </c>
      <c r="B5" t="s">
        <v>24</v>
      </c>
      <c r="C5" s="1">
        <f>EnergyInitialCapacity!D5*1.1</f>
        <v>2419.2740000000003</v>
      </c>
    </row>
    <row r="6" spans="1:3" x14ac:dyDescent="0.2">
      <c r="A6" t="s">
        <v>5</v>
      </c>
      <c r="B6" t="s">
        <v>24</v>
      </c>
      <c r="C6" s="1">
        <f>EnergyInitialCapacity!D6*1.1</f>
        <v>8538.75</v>
      </c>
    </row>
    <row r="7" spans="1:3" x14ac:dyDescent="0.2">
      <c r="A7" t="s">
        <v>6</v>
      </c>
      <c r="B7" t="s">
        <v>24</v>
      </c>
      <c r="C7" s="1">
        <f>EnergyInitialCapacity!D7*1.1</f>
        <v>1649.1200000000001</v>
      </c>
    </row>
    <row r="8" spans="1:3" x14ac:dyDescent="0.2">
      <c r="A8" t="s">
        <v>7</v>
      </c>
      <c r="B8" t="s">
        <v>24</v>
      </c>
      <c r="C8" s="1">
        <f>EnergyInitialCapacity!D8*1.1</f>
        <v>405887.9</v>
      </c>
    </row>
    <row r="9" spans="1:3" x14ac:dyDescent="0.2">
      <c r="A9" t="s">
        <v>8</v>
      </c>
      <c r="B9" t="s">
        <v>24</v>
      </c>
      <c r="C9" s="1">
        <f>EnergyInitialCapacity!D9*1.1</f>
        <v>7395.85</v>
      </c>
    </row>
    <row r="10" spans="1:3" x14ac:dyDescent="0.2">
      <c r="A10" t="s">
        <v>9</v>
      </c>
      <c r="B10" t="s">
        <v>24</v>
      </c>
      <c r="C10" s="1">
        <f>EnergyInitialCapacity!D10*1.1</f>
        <v>42488.600000000006</v>
      </c>
    </row>
    <row r="11" spans="1:3" x14ac:dyDescent="0.2">
      <c r="A11" t="s">
        <v>12</v>
      </c>
      <c r="B11" t="s">
        <v>24</v>
      </c>
      <c r="C11" s="1">
        <f>EnergyInitialCapacity!D11*1.1</f>
        <v>1683166.0009999999</v>
      </c>
    </row>
    <row r="12" spans="1:3" x14ac:dyDescent="0.2">
      <c r="A12" t="s">
        <v>14</v>
      </c>
      <c r="B12" t="s">
        <v>24</v>
      </c>
      <c r="C12" s="1">
        <f>EnergyInitialCapacity!D12*1.1</f>
        <v>202725.6</v>
      </c>
    </row>
    <row r="13" spans="1:3" x14ac:dyDescent="0.2">
      <c r="A13" t="s">
        <v>15</v>
      </c>
      <c r="B13" t="s">
        <v>24</v>
      </c>
      <c r="C13" s="1">
        <f>EnergyInitialCapacity!D13*1.1</f>
        <v>36775.200000000004</v>
      </c>
    </row>
    <row r="14" spans="1:3" x14ac:dyDescent="0.2">
      <c r="A14" t="s">
        <v>16</v>
      </c>
      <c r="B14" t="s">
        <v>24</v>
      </c>
      <c r="C14" s="1">
        <f>EnergyInitialCapacity!D14*1.1</f>
        <v>23309.484</v>
      </c>
    </row>
    <row r="15" spans="1:3" x14ac:dyDescent="0.2">
      <c r="A15" t="s">
        <v>17</v>
      </c>
      <c r="B15" t="s">
        <v>24</v>
      </c>
      <c r="C15" s="1">
        <f>EnergyInitialCapacity!D15*1.1</f>
        <v>23309.484</v>
      </c>
    </row>
    <row r="16" spans="1:3" x14ac:dyDescent="0.2">
      <c r="A16" t="s">
        <v>18</v>
      </c>
      <c r="B16" t="s">
        <v>24</v>
      </c>
      <c r="C16" s="1">
        <f>EnergyInitialCapacity!D16*1.1</f>
        <v>1649.1200000000001</v>
      </c>
    </row>
    <row r="17" spans="1:3" x14ac:dyDescent="0.2">
      <c r="A17" t="s">
        <v>19</v>
      </c>
      <c r="B17" t="s">
        <v>24</v>
      </c>
      <c r="C17" s="1">
        <f>EnergyInitialCapacity!D17*1.1</f>
        <v>2419.2740000000003</v>
      </c>
    </row>
    <row r="18" spans="1:3" x14ac:dyDescent="0.2">
      <c r="A18" t="s">
        <v>20</v>
      </c>
      <c r="B18" t="s">
        <v>24</v>
      </c>
      <c r="C18" s="1">
        <f>EnergyInitialCapacity!D18*1.1</f>
        <v>42488.600000000006</v>
      </c>
    </row>
    <row r="19" spans="1:3" x14ac:dyDescent="0.2">
      <c r="A19" t="s">
        <v>21</v>
      </c>
      <c r="B19" t="s">
        <v>24</v>
      </c>
      <c r="C19" s="1">
        <f>EnergyInitialCapacity!D19*1.1</f>
        <v>54208.000000000007</v>
      </c>
    </row>
    <row r="20" spans="1:3" x14ac:dyDescent="0.2">
      <c r="A20" t="s">
        <v>22</v>
      </c>
      <c r="B20" t="s">
        <v>24</v>
      </c>
      <c r="C20" s="1">
        <f>EnergyInitialCapacity!D20*1.1</f>
        <v>6732.0000000000009</v>
      </c>
    </row>
    <row r="21" spans="1:3" x14ac:dyDescent="0.2">
      <c r="C21" s="1"/>
    </row>
    <row r="22" spans="1:3" x14ac:dyDescent="0.2">
      <c r="C22" s="1"/>
    </row>
    <row r="23" spans="1:3" x14ac:dyDescent="0.2">
      <c r="C23" s="1"/>
    </row>
    <row r="24" spans="1:3" x14ac:dyDescent="0.2">
      <c r="C24" s="1"/>
    </row>
    <row r="25" spans="1:3" x14ac:dyDescent="0.2">
      <c r="C25" s="1"/>
    </row>
    <row r="26" spans="1:3" x14ac:dyDescent="0.2">
      <c r="C26" s="1"/>
    </row>
    <row r="27" spans="1:3" x14ac:dyDescent="0.2">
      <c r="C27" s="1"/>
    </row>
    <row r="28" spans="1:3" x14ac:dyDescent="0.2">
      <c r="C28" s="1"/>
    </row>
    <row r="29" spans="1:3" x14ac:dyDescent="0.2">
      <c r="C29" s="1"/>
    </row>
    <row r="30" spans="1:3" x14ac:dyDescent="0.2">
      <c r="C30" s="1"/>
    </row>
    <row r="31" spans="1:3" x14ac:dyDescent="0.2">
      <c r="C31" s="1"/>
    </row>
    <row r="32" spans="1:3" x14ac:dyDescent="0.2">
      <c r="C32" s="1"/>
    </row>
    <row r="33" spans="1:3" ht="15" customHeight="1" x14ac:dyDescent="0.2">
      <c r="A33" t="s">
        <v>3</v>
      </c>
      <c r="B33" t="s">
        <v>1</v>
      </c>
      <c r="C33">
        <v>20000000</v>
      </c>
    </row>
    <row r="34" spans="1:3" x14ac:dyDescent="0.2">
      <c r="A34" t="s">
        <v>4</v>
      </c>
      <c r="B34" t="s">
        <v>1</v>
      </c>
      <c r="C34">
        <v>20000000</v>
      </c>
    </row>
    <row r="35" spans="1:3" x14ac:dyDescent="0.2">
      <c r="A35" t="s">
        <v>5</v>
      </c>
      <c r="B35" t="s">
        <v>1</v>
      </c>
      <c r="C35">
        <v>20000000</v>
      </c>
    </row>
    <row r="36" spans="1:3" x14ac:dyDescent="0.2">
      <c r="A36" t="s">
        <v>6</v>
      </c>
      <c r="B36" t="s">
        <v>1</v>
      </c>
      <c r="C36">
        <v>20000000</v>
      </c>
    </row>
    <row r="37" spans="1:3" x14ac:dyDescent="0.2">
      <c r="A37" t="s">
        <v>7</v>
      </c>
      <c r="B37" t="s">
        <v>1</v>
      </c>
      <c r="C37">
        <v>20000000</v>
      </c>
    </row>
    <row r="38" spans="1:3" x14ac:dyDescent="0.2">
      <c r="A38" t="s">
        <v>8</v>
      </c>
      <c r="B38" t="s">
        <v>1</v>
      </c>
      <c r="C38">
        <v>20000000</v>
      </c>
    </row>
    <row r="39" spans="1:3" x14ac:dyDescent="0.2">
      <c r="A39" t="s">
        <v>9</v>
      </c>
      <c r="B39" t="s">
        <v>1</v>
      </c>
      <c r="C39">
        <v>20000000</v>
      </c>
    </row>
    <row r="40" spans="1:3" x14ac:dyDescent="0.2">
      <c r="A40" t="s">
        <v>10</v>
      </c>
      <c r="B40" t="s">
        <v>1</v>
      </c>
      <c r="C40">
        <v>20000000</v>
      </c>
    </row>
    <row r="41" spans="1:3" x14ac:dyDescent="0.2">
      <c r="A41" t="s">
        <v>11</v>
      </c>
      <c r="B41" t="s">
        <v>1</v>
      </c>
      <c r="C41">
        <v>20000000</v>
      </c>
    </row>
    <row r="42" spans="1:3" x14ac:dyDescent="0.2">
      <c r="A42" t="s">
        <v>12</v>
      </c>
      <c r="B42" t="s">
        <v>1</v>
      </c>
      <c r="C42">
        <v>20000000</v>
      </c>
    </row>
    <row r="43" spans="1:3" x14ac:dyDescent="0.2">
      <c r="A43" t="s">
        <v>13</v>
      </c>
      <c r="B43" t="s">
        <v>1</v>
      </c>
      <c r="C43">
        <v>20000000</v>
      </c>
    </row>
    <row r="44" spans="1:3" x14ac:dyDescent="0.2">
      <c r="A44" t="s">
        <v>14</v>
      </c>
      <c r="B44" t="s">
        <v>1</v>
      </c>
      <c r="C44">
        <v>20000000</v>
      </c>
    </row>
    <row r="45" spans="1:3" x14ac:dyDescent="0.2">
      <c r="A45" t="s">
        <v>15</v>
      </c>
      <c r="B45" t="s">
        <v>1</v>
      </c>
      <c r="C45">
        <v>20000000</v>
      </c>
    </row>
    <row r="46" spans="1:3" x14ac:dyDescent="0.2">
      <c r="A46" t="s">
        <v>16</v>
      </c>
      <c r="B46" t="s">
        <v>1</v>
      </c>
      <c r="C46">
        <v>20000000</v>
      </c>
    </row>
    <row r="47" spans="1:3" x14ac:dyDescent="0.2">
      <c r="A47" t="s">
        <v>17</v>
      </c>
      <c r="B47" t="s">
        <v>1</v>
      </c>
      <c r="C47">
        <v>20000000</v>
      </c>
    </row>
    <row r="48" spans="1:3" x14ac:dyDescent="0.2">
      <c r="A48" t="s">
        <v>18</v>
      </c>
      <c r="B48" t="s">
        <v>1</v>
      </c>
      <c r="C48">
        <v>20000000</v>
      </c>
    </row>
    <row r="49" spans="1:3" x14ac:dyDescent="0.2">
      <c r="A49" t="s">
        <v>19</v>
      </c>
      <c r="B49" t="s">
        <v>1</v>
      </c>
      <c r="C49">
        <v>20000000</v>
      </c>
    </row>
    <row r="50" spans="1:3" x14ac:dyDescent="0.2">
      <c r="A50" t="s">
        <v>20</v>
      </c>
      <c r="B50" t="s">
        <v>1</v>
      </c>
      <c r="C50">
        <v>20000000</v>
      </c>
    </row>
    <row r="51" spans="1:3" x14ac:dyDescent="0.2">
      <c r="A51" t="s">
        <v>21</v>
      </c>
      <c r="B51" t="s">
        <v>1</v>
      </c>
      <c r="C51">
        <v>20000000</v>
      </c>
    </row>
    <row r="52" spans="1:3" x14ac:dyDescent="0.2">
      <c r="A52" t="s">
        <v>22</v>
      </c>
      <c r="B52" t="s">
        <v>1</v>
      </c>
      <c r="C52">
        <v>20000000</v>
      </c>
    </row>
  </sheetData>
  <autoFilter ref="A1:C67" xr:uid="{B8614673-3B65-4697-B4AB-88B6D7AB2EF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5DFB-2228-4BDA-88CA-59E09BD9FC6F}">
  <dimension ref="A1:B5"/>
  <sheetViews>
    <sheetView workbookViewId="0">
      <selection sqref="A1:A2"/>
    </sheetView>
  </sheetViews>
  <sheetFormatPr baseColWidth="10" defaultRowHeight="15" x14ac:dyDescent="0.2"/>
  <cols>
    <col min="1" max="1" width="19.1640625" bestFit="1" customWidth="1"/>
    <col min="2" max="2" width="30.6640625" customWidth="1"/>
  </cols>
  <sheetData>
    <row r="1" spans="1:2" x14ac:dyDescent="0.2">
      <c r="A1" t="s">
        <v>43</v>
      </c>
    </row>
    <row r="2" spans="1:2" x14ac:dyDescent="0.2">
      <c r="A2" t="s">
        <v>54</v>
      </c>
    </row>
    <row r="3" spans="1:2" ht="48" x14ac:dyDescent="0.2">
      <c r="A3" s="2" t="s">
        <v>32</v>
      </c>
      <c r="B3" s="2" t="s">
        <v>31</v>
      </c>
    </row>
    <row r="4" spans="1:2" x14ac:dyDescent="0.2">
      <c r="A4" t="s">
        <v>24</v>
      </c>
      <c r="B4">
        <v>0.5</v>
      </c>
    </row>
    <row r="5" spans="1:2" x14ac:dyDescent="0.2">
      <c r="A5" t="s">
        <v>1</v>
      </c>
      <c r="B5">
        <v>0.5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C033-855C-47E5-A3C1-0A46D4F1659B}">
  <dimension ref="A1:B5"/>
  <sheetViews>
    <sheetView workbookViewId="0">
      <selection sqref="A1:A2"/>
    </sheetView>
  </sheetViews>
  <sheetFormatPr baseColWidth="10" defaultRowHeight="15" x14ac:dyDescent="0.2"/>
  <cols>
    <col min="1" max="1" width="17" bestFit="1" customWidth="1"/>
    <col min="2" max="2" width="15.1640625" bestFit="1" customWidth="1"/>
  </cols>
  <sheetData>
    <row r="1" spans="1:2" x14ac:dyDescent="0.2">
      <c r="A1" t="s">
        <v>43</v>
      </c>
    </row>
    <row r="2" spans="1:2" x14ac:dyDescent="0.2">
      <c r="A2" t="s">
        <v>55</v>
      </c>
    </row>
    <row r="3" spans="1:2" ht="16" x14ac:dyDescent="0.2">
      <c r="A3" s="2" t="s">
        <v>32</v>
      </c>
      <c r="B3" s="2" t="s">
        <v>34</v>
      </c>
    </row>
    <row r="4" spans="1:2" x14ac:dyDescent="0.2">
      <c r="A4" t="s">
        <v>24</v>
      </c>
      <c r="B4">
        <v>0.8</v>
      </c>
    </row>
    <row r="5" spans="1:2" x14ac:dyDescent="0.2">
      <c r="A5" t="s">
        <v>1</v>
      </c>
      <c r="B5">
        <v>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8F69-B12D-4A97-B881-930BE1F58A62}">
  <dimension ref="A1:B5"/>
  <sheetViews>
    <sheetView workbookViewId="0">
      <selection sqref="A1:A2"/>
    </sheetView>
  </sheetViews>
  <sheetFormatPr baseColWidth="10" defaultRowHeight="15" x14ac:dyDescent="0.2"/>
  <cols>
    <col min="1" max="1" width="17" bestFit="1" customWidth="1"/>
    <col min="2" max="2" width="10.1640625" bestFit="1" customWidth="1"/>
  </cols>
  <sheetData>
    <row r="1" spans="1:2" x14ac:dyDescent="0.2">
      <c r="A1" t="s">
        <v>43</v>
      </c>
    </row>
    <row r="2" spans="1:2" x14ac:dyDescent="0.2">
      <c r="A2" t="s">
        <v>56</v>
      </c>
    </row>
    <row r="3" spans="1:2" ht="32" x14ac:dyDescent="0.2">
      <c r="A3" s="2" t="s">
        <v>32</v>
      </c>
      <c r="B3" s="2" t="s">
        <v>35</v>
      </c>
    </row>
    <row r="4" spans="1:2" x14ac:dyDescent="0.2">
      <c r="A4" t="s">
        <v>24</v>
      </c>
      <c r="B4">
        <v>1</v>
      </c>
    </row>
    <row r="5" spans="1:2" x14ac:dyDescent="0.2">
      <c r="A5" t="s">
        <v>1</v>
      </c>
      <c r="B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2BF0-B03D-4710-AC78-247D1CA07DAA}">
  <dimension ref="A1:B4"/>
  <sheetViews>
    <sheetView workbookViewId="0">
      <selection sqref="A1:B4"/>
    </sheetView>
  </sheetViews>
  <sheetFormatPr baseColWidth="10" defaultRowHeight="15" x14ac:dyDescent="0.2"/>
  <sheetData>
    <row r="1" spans="1:2" x14ac:dyDescent="0.2">
      <c r="A1" t="s">
        <v>43</v>
      </c>
    </row>
    <row r="2" spans="1:2" x14ac:dyDescent="0.2">
      <c r="A2" t="s">
        <v>57</v>
      </c>
    </row>
    <row r="3" spans="1:2" ht="32" x14ac:dyDescent="0.2">
      <c r="A3" s="2" t="s">
        <v>32</v>
      </c>
      <c r="B3" s="2" t="s">
        <v>34</v>
      </c>
    </row>
    <row r="4" spans="1:2" x14ac:dyDescent="0.2">
      <c r="A4" t="s">
        <v>1</v>
      </c>
      <c r="B4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544-2773-4A70-B60C-A17787DED7A8}">
  <dimension ref="A1:B5"/>
  <sheetViews>
    <sheetView workbookViewId="0">
      <selection sqref="A1:A2"/>
    </sheetView>
  </sheetViews>
  <sheetFormatPr baseColWidth="10" defaultRowHeight="15" x14ac:dyDescent="0.2"/>
  <cols>
    <col min="2" max="2" width="15.1640625" bestFit="1" customWidth="1"/>
  </cols>
  <sheetData>
    <row r="1" spans="1:2" x14ac:dyDescent="0.2">
      <c r="A1" t="s">
        <v>43</v>
      </c>
    </row>
    <row r="2" spans="1:2" x14ac:dyDescent="0.2">
      <c r="A2" t="s">
        <v>58</v>
      </c>
    </row>
    <row r="3" spans="1:2" x14ac:dyDescent="0.2">
      <c r="A3" t="s">
        <v>32</v>
      </c>
      <c r="B3" t="s">
        <v>33</v>
      </c>
    </row>
    <row r="4" spans="1:2" x14ac:dyDescent="0.2">
      <c r="A4" t="s">
        <v>24</v>
      </c>
      <c r="B4">
        <v>1</v>
      </c>
    </row>
    <row r="5" spans="1:2" x14ac:dyDescent="0.2">
      <c r="A5" t="s">
        <v>1</v>
      </c>
      <c r="B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683E-4EA4-4BCC-9DEA-664A594E8FC9}">
  <dimension ref="A1:B5"/>
  <sheetViews>
    <sheetView tabSelected="1" workbookViewId="0">
      <selection activeCell="A2" sqref="A2"/>
    </sheetView>
  </sheetViews>
  <sheetFormatPr baseColWidth="10" defaultRowHeight="15" x14ac:dyDescent="0.2"/>
  <cols>
    <col min="1" max="1" width="17" bestFit="1" customWidth="1"/>
    <col min="2" max="2" width="13" bestFit="1" customWidth="1"/>
  </cols>
  <sheetData>
    <row r="1" spans="1:2" x14ac:dyDescent="0.2">
      <c r="A1" t="s">
        <v>38</v>
      </c>
    </row>
    <row r="2" spans="1:2" x14ac:dyDescent="0.2">
      <c r="A2" t="s">
        <v>59</v>
      </c>
    </row>
    <row r="3" spans="1:2" x14ac:dyDescent="0.2">
      <c r="A3" t="s">
        <v>2</v>
      </c>
      <c r="B3" t="s">
        <v>42</v>
      </c>
    </row>
    <row r="4" spans="1:2" x14ac:dyDescent="0.2">
      <c r="A4" t="s">
        <v>24</v>
      </c>
      <c r="B4">
        <v>25</v>
      </c>
    </row>
    <row r="5" spans="1:2" x14ac:dyDescent="0.2">
      <c r="A5" t="s">
        <v>1</v>
      </c>
      <c r="B5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InitialPowerCapacity</vt:lpstr>
      <vt:lpstr>PowerCapitalCost</vt:lpstr>
      <vt:lpstr>PowerFixedOMCost</vt:lpstr>
      <vt:lpstr>PowerMaxBuiltCapacity</vt:lpstr>
      <vt:lpstr>PowerMaxInstalledCapacity</vt:lpstr>
      <vt:lpstr>EnergyCapitalCost</vt:lpstr>
      <vt:lpstr>EnergyFixedOMCost</vt:lpstr>
      <vt:lpstr>EnergyInitialCapacity</vt:lpstr>
      <vt:lpstr>EnergyMaxBuiltCapacity</vt:lpstr>
      <vt:lpstr>EnergyMaxInstalledCapacity</vt:lpstr>
      <vt:lpstr>StorageInitialEnergyLevel</vt:lpstr>
      <vt:lpstr>StorageChargeEff</vt:lpstr>
      <vt:lpstr>StorageDischargeEff</vt:lpstr>
      <vt:lpstr>StoragePowToEnergy</vt:lpstr>
      <vt:lpstr>StorageBleedEfficiency</vt:lpstr>
      <vt:lpstr>Lifetime</vt:lpstr>
      <vt:lpstr>stor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Kwon, Taehyeon</cp:lastModifiedBy>
  <dcterms:created xsi:type="dcterms:W3CDTF">2018-02-19T14:22:41Z</dcterms:created>
  <dcterms:modified xsi:type="dcterms:W3CDTF">2025-09-14T03:03:51Z</dcterms:modified>
</cp:coreProperties>
</file>
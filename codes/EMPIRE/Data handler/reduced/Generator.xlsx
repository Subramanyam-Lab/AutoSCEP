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13_ncr:1_{15F53524-D1CB-CF43-8B42-174BCECBA6CD}" xr6:coauthVersionLast="47" xr6:coauthVersionMax="47" xr10:uidLastSave="{00000000-0000-0000-0000-000000000000}"/>
  <bookViews>
    <workbookView xWindow="0" yWindow="680" windowWidth="28800" windowHeight="17960" tabRatio="788" firstSheet="10" activeTab="10" xr2:uid="{00000000-000D-0000-FFFF-FFFF00000000}"/>
  </bookViews>
  <sheets>
    <sheet name="CapitalCosts" sheetId="15" r:id="rId1"/>
    <sheet name="FixedOMCosts" sheetId="16" r:id="rId2"/>
    <sheet name="VariableOMCosts" sheetId="18" r:id="rId3"/>
    <sheet name="FuelCosts" sheetId="19" r:id="rId4"/>
    <sheet name="CCSCostTSVariable" sheetId="20" r:id="rId5"/>
    <sheet name="Efficiency" sheetId="17" r:id="rId6"/>
    <sheet name="RefInitialCap" sheetId="21" r:id="rId7"/>
    <sheet name="ScaleFactorInitialCap" sheetId="22" r:id="rId8"/>
    <sheet name="InitialCapacity" sheetId="13" r:id="rId9"/>
    <sheet name="MaxBuiltCapacity" sheetId="12" r:id="rId10"/>
    <sheet name="MaxInstalledCapacity" sheetId="11" r:id="rId11"/>
    <sheet name="RampRate" sheetId="10" r:id="rId12"/>
    <sheet name="GeneratorTypeAvailability" sheetId="9" r:id="rId13"/>
    <sheet name="CO2Content" sheetId="8" r:id="rId14"/>
    <sheet name="Lifetime" sheetId="23" r:id="rId15"/>
  </sheets>
  <definedNames>
    <definedName name="_xlnm._FilterDatabase" localSheetId="0" hidden="1">CapitalCosts!$A$1:$C$179</definedName>
    <definedName name="_xlnm._FilterDatabase" localSheetId="13" hidden="1">CO2Content!$A$1:$B$255</definedName>
    <definedName name="_xlnm._FilterDatabase" localSheetId="5" hidden="1">Efficiency!$A$2:$C$219</definedName>
    <definedName name="_xlnm._FilterDatabase" localSheetId="1" hidden="1">FixedOMCosts!$A$1:$C$179</definedName>
    <definedName name="_xlnm._FilterDatabase" localSheetId="3" hidden="1">FuelCosts!$A$1:$C$227</definedName>
    <definedName name="_xlnm._FilterDatabase" localSheetId="8" hidden="1">InitialCapacity!$A$1:$D$1115</definedName>
    <definedName name="_xlnm._FilterDatabase" localSheetId="9" hidden="1">MaxBuiltCapacity!$A$1:$D$48</definedName>
    <definedName name="_xlnm._FilterDatabase" localSheetId="10" hidden="1">MaxInstalledCapacity!$A$1:$C$48</definedName>
    <definedName name="_xlnm._FilterDatabase" localSheetId="6" hidden="1">RefInitialCap!$A$1:$C$38</definedName>
    <definedName name="_xlnm._FilterDatabase" localSheetId="7" hidden="1">ScaleFactorInitialCap!$A$1:$D$54</definedName>
    <definedName name="arcs">#REF!</definedName>
    <definedName name="gen">Lifetime!$A$3:$B$7</definedName>
    <definedName name="Gene1">#REF!</definedName>
    <definedName name="gensOfNode">#REF!</definedName>
    <definedName name="gent">#REF!</definedName>
    <definedName name="initialCap">#REF!,#REF!</definedName>
    <definedName name="initialCap2">InitialCapacity!$B$3:$C$4</definedName>
    <definedName name="intlinks1">#REF!</definedName>
    <definedName name="invCost">#REF!</definedName>
    <definedName name="margCost">#REF!,#REF!</definedName>
    <definedName name="margCost2">#REF!</definedName>
    <definedName name="maxBuiltCap">#REF!,#REF!</definedName>
    <definedName name="maxBuiltCap2">MaxBuiltCapacity!$B$3:$D$3</definedName>
    <definedName name="maxInstalledCap">#REF!,#REF!</definedName>
    <definedName name="maxInstalledCap2">MaxInstalledCapacity!$A$3:$C$3</definedName>
    <definedName name="nodes">#REF!</definedName>
    <definedName name="ophours1">#REF!</definedName>
    <definedName name="period1">#REF!</definedName>
    <definedName name="scen">#REF!</definedName>
    <definedName name="seas1">#REF!</definedName>
    <definedName name="StorageOfNodes">#REF!</definedName>
    <definedName name="storages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8" i="11" l="1"/>
  <c r="C42" i="11" l="1"/>
  <c r="C41" i="11"/>
  <c r="C40" i="11"/>
  <c r="C39" i="11"/>
  <c r="C37" i="11"/>
  <c r="C30" i="21"/>
  <c r="C8" i="21"/>
  <c r="B20" i="8"/>
  <c r="B16" i="8"/>
  <c r="B15" i="8"/>
  <c r="B7" i="8"/>
  <c r="B6" i="8"/>
  <c r="B11" i="8"/>
  <c r="B10" i="8"/>
  <c r="B19" i="8" l="1"/>
  <c r="B17" i="8"/>
  <c r="B14" i="8"/>
  <c r="B13" i="8"/>
  <c r="B12" i="8"/>
  <c r="B9" i="8"/>
  <c r="B8" i="8"/>
  <c r="B5" i="8"/>
  <c r="B4" i="8"/>
</calcChain>
</file>

<file path=xl/sharedStrings.xml><?xml version="1.0" encoding="utf-8"?>
<sst xmlns="http://schemas.openxmlformats.org/spreadsheetml/2006/main" count="1387" uniqueCount="95">
  <si>
    <t>Source: PRIMES 2018</t>
  </si>
  <si>
    <t>Description: Total capital costs for investment generator types (default: 0)</t>
  </si>
  <si>
    <t>GeneratorTechnology</t>
  </si>
  <si>
    <t>Period</t>
  </si>
  <si>
    <t>generatorCapitalCost in euro per kW</t>
  </si>
  <si>
    <t>Lignite</t>
  </si>
  <si>
    <t>Lignite CCS adv</t>
  </si>
  <si>
    <t>Lignite CCS sup</t>
  </si>
  <si>
    <t>Coal</t>
  </si>
  <si>
    <t>Coal CCS adv</t>
  </si>
  <si>
    <t>Coal CCS</t>
  </si>
  <si>
    <t>Gas OCGT</t>
  </si>
  <si>
    <t>Gas CCGT</t>
  </si>
  <si>
    <t>Gas CCS adv</t>
  </si>
  <si>
    <t>Gas CCS</t>
  </si>
  <si>
    <t>Bio 10 cofiring</t>
  </si>
  <si>
    <t>Bio 10 cofiring CCS</t>
  </si>
  <si>
    <t>Nuclear</t>
  </si>
  <si>
    <t>Wave</t>
  </si>
  <si>
    <t>Geo</t>
  </si>
  <si>
    <t>Hydro regulated</t>
  </si>
  <si>
    <t>Hydro run-of-the-river</t>
  </si>
  <si>
    <t>Bio</t>
  </si>
  <si>
    <t>Wind onshore</t>
  </si>
  <si>
    <t>Solar</t>
  </si>
  <si>
    <t>Waste</t>
  </si>
  <si>
    <t>Description: Fixed annual operation and maintenance costs for generator types (default: 0)</t>
  </si>
  <si>
    <t>Source: IEA, NEA</t>
  </si>
  <si>
    <t>Description: Operation dependent (fixed per MWh) operation and maintenance cost for generator type (default: 0)</t>
  </si>
  <si>
    <t>generatorVariableOMcosts in euro per MWh</t>
  </si>
  <si>
    <t>Liginite existing</t>
  </si>
  <si>
    <t>Coal existing</t>
  </si>
  <si>
    <t>Gas existing</t>
  </si>
  <si>
    <t>Oil existing</t>
  </si>
  <si>
    <t>Bio existing</t>
  </si>
  <si>
    <t>Source: EC reference scenario (decarb 2016)</t>
  </si>
  <si>
    <t>Description: Period dependent fuel cost for generator types (default: 0)</t>
  </si>
  <si>
    <t>generatorTypeFuelCost in euro per GJ</t>
  </si>
  <si>
    <t>Source: ZEP</t>
  </si>
  <si>
    <t>Description: Cost of transporting and storing captured CO2 (dependent on amount captured) (default: 0)</t>
  </si>
  <si>
    <t>CCS_TScost in euro per tCO2</t>
  </si>
  <si>
    <t>Description: Efficiency of converting fuel to electricity for generator types (default: 1)</t>
  </si>
  <si>
    <t>generatorEfficiency</t>
  </si>
  <si>
    <t>Source: STATISTICAL FACTSHEET 2018 (ENTSO-E)</t>
  </si>
  <si>
    <t>Description: Capacity in the reference investment period (here: 2018) (default: 0)</t>
  </si>
  <si>
    <t>Node</t>
  </si>
  <si>
    <t>generatoReferenceInitialCapacity in MW</t>
  </si>
  <si>
    <t>Germany</t>
  </si>
  <si>
    <t>Denmark</t>
  </si>
  <si>
    <t>France</t>
  </si>
  <si>
    <t>Source: JCR 2009</t>
  </si>
  <si>
    <t>Description: The share of capacity that has retired compared to the reference period (here: so '0' for 2020 (period 1)) (default: 0 - no retirement)</t>
  </si>
  <si>
    <t>generatorRetirementFactorInitialCap</t>
  </si>
  <si>
    <t>Comment</t>
  </si>
  <si>
    <t>JCR 2009</t>
  </si>
  <si>
    <t>Linear (all cap by 2045)</t>
  </si>
  <si>
    <t>Assumed</t>
  </si>
  <si>
    <t>Description: Capacity in investment period (here: only ref 2020 (period 1)) (default: 0)</t>
  </si>
  <si>
    <t>generatorInitialCapacity in MW</t>
  </si>
  <si>
    <t>Source: Assumed</t>
  </si>
  <si>
    <t>Description: Maximum capacity expansion of generator typess in one node and investment period (default: 500 000)</t>
  </si>
  <si>
    <t>generatorMaxBuildCapacity in MW</t>
  </si>
  <si>
    <t>Existing</t>
  </si>
  <si>
    <t>CCS</t>
  </si>
  <si>
    <t>Source: See legend to the right</t>
  </si>
  <si>
    <t xml:space="preserve">Description: Maximum capacity that can exist (resource limit) of a generator (default: 0) </t>
  </si>
  <si>
    <t>Technology not allowed</t>
  </si>
  <si>
    <t>generatorMaxInstallCapacity  in MW</t>
  </si>
  <si>
    <t>NREAP (2020 number + 20%)</t>
  </si>
  <si>
    <t>Nordic energy technology perspective 2016, p 244</t>
  </si>
  <si>
    <t>CoFire</t>
  </si>
  <si>
    <t>Gas</t>
  </si>
  <si>
    <t>Hcoal</t>
  </si>
  <si>
    <t>Hydro_reg</t>
  </si>
  <si>
    <t>Hydro_ror</t>
  </si>
  <si>
    <t>Oil</t>
  </si>
  <si>
    <t>Wind_onshr</t>
  </si>
  <si>
    <t>Description: Maximum change of output from one hour compared to the previous hour for thermal generator types (default: 0)</t>
  </si>
  <si>
    <t>ThermalGenerators</t>
  </si>
  <si>
    <t>RampRate</t>
  </si>
  <si>
    <t>Description: Maximum available capacity of installed capacity of generator type in any hour (default: 0 - meaning time-dependent availability, see 'Stochastic')</t>
  </si>
  <si>
    <t>Generator</t>
  </si>
  <si>
    <t>GeneratorTypeAvailability</t>
  </si>
  <si>
    <t>Source: IPCC_2006_Guidelines_V2_2_Ch2_Stationary_Combustion</t>
  </si>
  <si>
    <t>Description: CO2 intensity of generator type depending on fuel (default: 0)</t>
  </si>
  <si>
    <t>CO2Content_in_tCO2/GJ</t>
  </si>
  <si>
    <t>Description: Lifetime of generator type in years (default: 0)</t>
  </si>
  <si>
    <t>generatorLifetime</t>
  </si>
  <si>
    <t>Wind offshore grounded</t>
  </si>
  <si>
    <t>Wind offshore floating</t>
  </si>
  <si>
    <t>From TIMES</t>
  </si>
  <si>
    <t>Source: Transparency Platform ENTSO-E (2022) + Mix (see overview to the right)</t>
  </si>
  <si>
    <r>
      <t xml:space="preserve">WindEurope's "Our energy, our future; How offshore wind will help Europe go carbon-neutral", Appendix A: </t>
    </r>
    <r>
      <rPr>
        <sz val="11"/>
        <color theme="1"/>
        <rFont val="Calibri (Body)"/>
      </rPr>
      <t>OFFSHORE WIND VISION FOR 2050</t>
    </r>
  </si>
  <si>
    <t>Wind_offshr_grounded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</si>
  <si>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Germany &amp; Denmark capacities here are for the Baltic projects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</si>
</sst>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(Body)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2" borderId="0" xfId="0" applyNumberFormat="1" applyFill="1"/>
    <xf numFmtId="3" fontId="0" fillId="4" borderId="0" xfId="0" applyNumberFormat="1" applyFill="1"/>
    <xf numFmtId="3" fontId="1" fillId="5" borderId="0" xfId="0" applyNumberFormat="1" applyFont="1" applyFill="1"/>
    <xf numFmtId="3" fontId="0" fillId="0" borderId="0" xfId="0" applyNumberFormat="1"/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0" fontId="0" fillId="3" borderId="0" xfId="0" applyFill="1"/>
    <xf numFmtId="0" fontId="0" fillId="8" borderId="0" xfId="0" applyFill="1"/>
    <xf numFmtId="0" fontId="0" fillId="7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4" fillId="0" borderId="1" xfId="0" applyFont="1" applyBorder="1" applyAlignment="1">
      <alignment vertical="center" wrapText="1" readingOrder="1"/>
    </xf>
    <xf numFmtId="3" fontId="0" fillId="10" borderId="0" xfId="0" applyNumberFormat="1" applyFill="1"/>
    <xf numFmtId="1" fontId="0" fillId="0" borderId="0" xfId="0" applyNumberFormat="1"/>
    <xf numFmtId="0" fontId="4" fillId="11" borderId="1" xfId="0" applyFont="1" applyFill="1" applyBorder="1" applyAlignment="1">
      <alignment vertical="center" wrapText="1" readingOrder="1"/>
    </xf>
    <xf numFmtId="3" fontId="0" fillId="11" borderId="0" xfId="0" applyNumberFormat="1" applyFill="1"/>
    <xf numFmtId="3" fontId="0" fillId="11" borderId="0" xfId="0" applyNumberFormat="1" applyFill="1" applyAlignment="1">
      <alignment horizontal="right"/>
    </xf>
  </cellXfs>
  <cellStyles count="4">
    <cellStyle name="Comma 2" xfId="3" xr:uid="{00000000-0005-0000-0000-000000000000}"/>
    <cellStyle name="Normal" xfId="0" builtinId="0"/>
    <cellStyle name="Normal 2" xfId="1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3410-15EF-47DC-BA96-BE58925E48EC}">
  <dimension ref="A1:C187"/>
  <sheetViews>
    <sheetView workbookViewId="0">
      <selection activeCell="A25" sqref="A25"/>
    </sheetView>
  </sheetViews>
  <sheetFormatPr baseColWidth="10" defaultColWidth="10.83203125" defaultRowHeight="15" x14ac:dyDescent="0.2"/>
  <cols>
    <col min="1" max="1" width="30.1640625" customWidth="1"/>
    <col min="2" max="2" width="6.83203125" bestFit="1" customWidth="1"/>
    <col min="3" max="3" width="30.5" bestFit="1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ht="16" x14ac:dyDescent="0.2">
      <c r="A3" t="s">
        <v>2</v>
      </c>
      <c r="B3" s="1" t="s">
        <v>3</v>
      </c>
      <c r="C3" t="s">
        <v>4</v>
      </c>
    </row>
    <row r="4" spans="1:3" x14ac:dyDescent="0.2">
      <c r="A4" t="s">
        <v>5</v>
      </c>
      <c r="B4">
        <v>1</v>
      </c>
      <c r="C4">
        <v>1800</v>
      </c>
    </row>
    <row r="5" spans="1:3" x14ac:dyDescent="0.2">
      <c r="A5" t="s">
        <v>6</v>
      </c>
      <c r="B5">
        <v>1</v>
      </c>
      <c r="C5">
        <v>2600</v>
      </c>
    </row>
    <row r="6" spans="1:3" x14ac:dyDescent="0.2">
      <c r="A6" t="s">
        <v>7</v>
      </c>
      <c r="B6">
        <v>1</v>
      </c>
      <c r="C6">
        <v>3799.2307692307691</v>
      </c>
    </row>
    <row r="7" spans="1:3" x14ac:dyDescent="0.2">
      <c r="A7" t="s">
        <v>8</v>
      </c>
      <c r="B7">
        <v>1</v>
      </c>
      <c r="C7">
        <v>1600</v>
      </c>
    </row>
    <row r="8" spans="1:3" x14ac:dyDescent="0.2">
      <c r="A8" t="s">
        <v>9</v>
      </c>
      <c r="B8">
        <v>1</v>
      </c>
      <c r="C8">
        <v>2500</v>
      </c>
    </row>
    <row r="9" spans="1:3" x14ac:dyDescent="0.2">
      <c r="A9" t="s">
        <v>10</v>
      </c>
      <c r="B9">
        <v>1</v>
      </c>
      <c r="C9">
        <v>3550</v>
      </c>
    </row>
    <row r="10" spans="1:3" x14ac:dyDescent="0.2">
      <c r="A10" t="s">
        <v>11</v>
      </c>
      <c r="B10">
        <v>1</v>
      </c>
      <c r="C10">
        <v>400</v>
      </c>
    </row>
    <row r="11" spans="1:3" x14ac:dyDescent="0.2">
      <c r="A11" t="s">
        <v>12</v>
      </c>
      <c r="B11">
        <v>1</v>
      </c>
      <c r="C11">
        <v>720</v>
      </c>
    </row>
    <row r="12" spans="1:3" x14ac:dyDescent="0.2">
      <c r="A12" t="s">
        <v>13</v>
      </c>
      <c r="B12">
        <v>1</v>
      </c>
      <c r="C12">
        <v>1350</v>
      </c>
    </row>
    <row r="13" spans="1:3" x14ac:dyDescent="0.2">
      <c r="A13" t="s">
        <v>14</v>
      </c>
      <c r="B13">
        <v>1</v>
      </c>
      <c r="C13">
        <v>1750</v>
      </c>
    </row>
    <row r="14" spans="1:3" x14ac:dyDescent="0.2">
      <c r="A14" t="s">
        <v>15</v>
      </c>
      <c r="B14">
        <v>1</v>
      </c>
      <c r="C14">
        <v>1600</v>
      </c>
    </row>
    <row r="15" spans="1:3" x14ac:dyDescent="0.2">
      <c r="A15" t="s">
        <v>16</v>
      </c>
      <c r="B15">
        <v>1</v>
      </c>
      <c r="C15">
        <v>2600</v>
      </c>
    </row>
    <row r="16" spans="1:3" x14ac:dyDescent="0.2">
      <c r="A16" t="s">
        <v>17</v>
      </c>
      <c r="B16">
        <v>1</v>
      </c>
      <c r="C16">
        <v>6000</v>
      </c>
    </row>
    <row r="17" spans="1:3" x14ac:dyDescent="0.2">
      <c r="A17" t="s">
        <v>18</v>
      </c>
      <c r="B17">
        <v>1</v>
      </c>
      <c r="C17">
        <v>6100</v>
      </c>
    </row>
    <row r="18" spans="1:3" x14ac:dyDescent="0.2">
      <c r="A18" t="s">
        <v>19</v>
      </c>
      <c r="B18">
        <v>1</v>
      </c>
      <c r="C18">
        <v>4970</v>
      </c>
    </row>
    <row r="19" spans="1:3" x14ac:dyDescent="0.2">
      <c r="A19" t="s">
        <v>20</v>
      </c>
      <c r="B19">
        <v>1</v>
      </c>
      <c r="C19">
        <v>3000</v>
      </c>
    </row>
    <row r="20" spans="1:3" x14ac:dyDescent="0.2">
      <c r="A20" t="s">
        <v>21</v>
      </c>
      <c r="B20">
        <v>1</v>
      </c>
      <c r="C20">
        <v>2450</v>
      </c>
    </row>
    <row r="21" spans="1:3" x14ac:dyDescent="0.2">
      <c r="A21" t="s">
        <v>22</v>
      </c>
      <c r="B21">
        <v>1</v>
      </c>
      <c r="C21">
        <v>2000</v>
      </c>
    </row>
    <row r="22" spans="1:3" x14ac:dyDescent="0.2">
      <c r="A22" t="s">
        <v>23</v>
      </c>
      <c r="B22">
        <v>1</v>
      </c>
      <c r="C22">
        <v>1295</v>
      </c>
    </row>
    <row r="23" spans="1:3" x14ac:dyDescent="0.2">
      <c r="A23" t="s">
        <v>88</v>
      </c>
      <c r="B23">
        <v>1</v>
      </c>
      <c r="C23">
        <v>2778</v>
      </c>
    </row>
    <row r="24" spans="1:3" x14ac:dyDescent="0.2">
      <c r="A24" t="s">
        <v>24</v>
      </c>
      <c r="B24">
        <v>1</v>
      </c>
      <c r="C24">
        <v>710</v>
      </c>
    </row>
    <row r="25" spans="1:3" x14ac:dyDescent="0.2">
      <c r="A25" t="s">
        <v>5</v>
      </c>
      <c r="B25">
        <v>2</v>
      </c>
      <c r="C25">
        <v>1800</v>
      </c>
    </row>
    <row r="26" spans="1:3" x14ac:dyDescent="0.2">
      <c r="A26" t="s">
        <v>6</v>
      </c>
      <c r="B26">
        <v>2</v>
      </c>
      <c r="C26">
        <v>2600</v>
      </c>
    </row>
    <row r="27" spans="1:3" x14ac:dyDescent="0.2">
      <c r="A27" t="s">
        <v>7</v>
      </c>
      <c r="B27">
        <v>2</v>
      </c>
      <c r="C27">
        <v>3799.2307692307691</v>
      </c>
    </row>
    <row r="28" spans="1:3" x14ac:dyDescent="0.2">
      <c r="A28" t="s">
        <v>8</v>
      </c>
      <c r="B28">
        <v>2</v>
      </c>
      <c r="C28">
        <v>1600</v>
      </c>
    </row>
    <row r="29" spans="1:3" x14ac:dyDescent="0.2">
      <c r="A29" t="s">
        <v>9</v>
      </c>
      <c r="B29">
        <v>2</v>
      </c>
      <c r="C29">
        <v>2500</v>
      </c>
    </row>
    <row r="30" spans="1:3" x14ac:dyDescent="0.2">
      <c r="A30" t="s">
        <v>10</v>
      </c>
      <c r="B30">
        <v>2</v>
      </c>
      <c r="C30">
        <v>3550</v>
      </c>
    </row>
    <row r="31" spans="1:3" x14ac:dyDescent="0.2">
      <c r="A31" t="s">
        <v>11</v>
      </c>
      <c r="B31">
        <v>2</v>
      </c>
      <c r="C31">
        <v>400</v>
      </c>
    </row>
    <row r="32" spans="1:3" x14ac:dyDescent="0.2">
      <c r="A32" t="s">
        <v>12</v>
      </c>
      <c r="B32">
        <v>2</v>
      </c>
      <c r="C32">
        <v>720</v>
      </c>
    </row>
    <row r="33" spans="1:3" x14ac:dyDescent="0.2">
      <c r="A33" t="s">
        <v>13</v>
      </c>
      <c r="B33">
        <v>2</v>
      </c>
      <c r="C33">
        <v>1350</v>
      </c>
    </row>
    <row r="34" spans="1:3" x14ac:dyDescent="0.2">
      <c r="A34" t="s">
        <v>14</v>
      </c>
      <c r="B34">
        <v>2</v>
      </c>
      <c r="C34">
        <v>1750</v>
      </c>
    </row>
    <row r="35" spans="1:3" x14ac:dyDescent="0.2">
      <c r="A35" t="s">
        <v>15</v>
      </c>
      <c r="B35">
        <v>2</v>
      </c>
      <c r="C35">
        <v>1600</v>
      </c>
    </row>
    <row r="36" spans="1:3" x14ac:dyDescent="0.2">
      <c r="A36" t="s">
        <v>16</v>
      </c>
      <c r="B36">
        <v>2</v>
      </c>
      <c r="C36">
        <v>2600</v>
      </c>
    </row>
    <row r="37" spans="1:3" x14ac:dyDescent="0.2">
      <c r="A37" t="s">
        <v>17</v>
      </c>
      <c r="B37">
        <v>2</v>
      </c>
      <c r="C37">
        <v>6000</v>
      </c>
    </row>
    <row r="38" spans="1:3" x14ac:dyDescent="0.2">
      <c r="A38" t="s">
        <v>18</v>
      </c>
      <c r="B38">
        <v>2</v>
      </c>
      <c r="C38">
        <v>6100</v>
      </c>
    </row>
    <row r="39" spans="1:3" x14ac:dyDescent="0.2">
      <c r="A39" t="s">
        <v>19</v>
      </c>
      <c r="B39">
        <v>2</v>
      </c>
      <c r="C39">
        <v>4970</v>
      </c>
    </row>
    <row r="40" spans="1:3" x14ac:dyDescent="0.2">
      <c r="A40" t="s">
        <v>20</v>
      </c>
      <c r="B40">
        <v>2</v>
      </c>
      <c r="C40">
        <v>3000</v>
      </c>
    </row>
    <row r="41" spans="1:3" x14ac:dyDescent="0.2">
      <c r="A41" t="s">
        <v>21</v>
      </c>
      <c r="B41">
        <v>2</v>
      </c>
      <c r="C41">
        <v>2450</v>
      </c>
    </row>
    <row r="42" spans="1:3" x14ac:dyDescent="0.2">
      <c r="A42" t="s">
        <v>22</v>
      </c>
      <c r="B42">
        <v>2</v>
      </c>
      <c r="C42">
        <v>2000</v>
      </c>
    </row>
    <row r="43" spans="1:3" x14ac:dyDescent="0.2">
      <c r="A43" t="s">
        <v>23</v>
      </c>
      <c r="B43">
        <v>2</v>
      </c>
      <c r="C43">
        <v>1295</v>
      </c>
    </row>
    <row r="44" spans="1:3" x14ac:dyDescent="0.2">
      <c r="A44" t="s">
        <v>88</v>
      </c>
      <c r="B44">
        <v>2</v>
      </c>
      <c r="C44">
        <v>2778</v>
      </c>
    </row>
    <row r="45" spans="1:3" x14ac:dyDescent="0.2">
      <c r="A45" t="s">
        <v>24</v>
      </c>
      <c r="B45">
        <v>2</v>
      </c>
      <c r="C45">
        <v>710</v>
      </c>
    </row>
    <row r="46" spans="1:3" x14ac:dyDescent="0.2">
      <c r="A46" t="s">
        <v>5</v>
      </c>
      <c r="B46">
        <v>3</v>
      </c>
      <c r="C46">
        <v>1800</v>
      </c>
    </row>
    <row r="47" spans="1:3" x14ac:dyDescent="0.2">
      <c r="A47" t="s">
        <v>6</v>
      </c>
      <c r="B47">
        <v>3</v>
      </c>
      <c r="C47">
        <v>2530</v>
      </c>
    </row>
    <row r="48" spans="1:3" x14ac:dyDescent="0.2">
      <c r="A48" t="s">
        <v>7</v>
      </c>
      <c r="B48">
        <v>3</v>
      </c>
      <c r="C48">
        <v>3799.2307692307691</v>
      </c>
    </row>
    <row r="49" spans="1:3" x14ac:dyDescent="0.2">
      <c r="A49" t="s">
        <v>8</v>
      </c>
      <c r="B49">
        <v>3</v>
      </c>
      <c r="C49">
        <v>1600</v>
      </c>
    </row>
    <row r="50" spans="1:3" x14ac:dyDescent="0.2">
      <c r="A50" t="s">
        <v>9</v>
      </c>
      <c r="B50">
        <v>3</v>
      </c>
      <c r="C50">
        <v>2430</v>
      </c>
    </row>
    <row r="51" spans="1:3" x14ac:dyDescent="0.2">
      <c r="A51" t="s">
        <v>10</v>
      </c>
      <c r="B51">
        <v>3</v>
      </c>
      <c r="C51">
        <v>3350</v>
      </c>
    </row>
    <row r="52" spans="1:3" x14ac:dyDescent="0.2">
      <c r="A52" t="s">
        <v>11</v>
      </c>
      <c r="B52">
        <v>3</v>
      </c>
      <c r="C52">
        <v>400</v>
      </c>
    </row>
    <row r="53" spans="1:3" x14ac:dyDescent="0.2">
      <c r="A53" t="s">
        <v>12</v>
      </c>
      <c r="B53">
        <v>3</v>
      </c>
      <c r="C53">
        <v>690</v>
      </c>
    </row>
    <row r="54" spans="1:3" x14ac:dyDescent="0.2">
      <c r="A54" t="s">
        <v>13</v>
      </c>
      <c r="B54">
        <v>3</v>
      </c>
      <c r="C54">
        <v>1330</v>
      </c>
    </row>
    <row r="55" spans="1:3" x14ac:dyDescent="0.2">
      <c r="A55" t="s">
        <v>14</v>
      </c>
      <c r="B55">
        <v>3</v>
      </c>
      <c r="C55">
        <v>1625</v>
      </c>
    </row>
    <row r="56" spans="1:3" x14ac:dyDescent="0.2">
      <c r="A56" t="s">
        <v>15</v>
      </c>
      <c r="B56">
        <v>3</v>
      </c>
      <c r="C56">
        <v>1600</v>
      </c>
    </row>
    <row r="57" spans="1:3" x14ac:dyDescent="0.2">
      <c r="A57" t="s">
        <v>16</v>
      </c>
      <c r="B57">
        <v>3</v>
      </c>
      <c r="C57">
        <v>2530</v>
      </c>
    </row>
    <row r="58" spans="1:3" x14ac:dyDescent="0.2">
      <c r="A58" t="s">
        <v>17</v>
      </c>
      <c r="B58">
        <v>3</v>
      </c>
      <c r="C58">
        <v>6000</v>
      </c>
    </row>
    <row r="59" spans="1:3" x14ac:dyDescent="0.2">
      <c r="A59" t="s">
        <v>18</v>
      </c>
      <c r="B59">
        <v>3</v>
      </c>
      <c r="C59">
        <v>3100</v>
      </c>
    </row>
    <row r="60" spans="1:3" x14ac:dyDescent="0.2">
      <c r="A60" t="s">
        <v>19</v>
      </c>
      <c r="B60">
        <v>3</v>
      </c>
      <c r="C60">
        <v>4586</v>
      </c>
    </row>
    <row r="61" spans="1:3" x14ac:dyDescent="0.2">
      <c r="A61" t="s">
        <v>20</v>
      </c>
      <c r="B61">
        <v>3</v>
      </c>
      <c r="C61">
        <v>3000</v>
      </c>
    </row>
    <row r="62" spans="1:3" x14ac:dyDescent="0.2">
      <c r="A62" t="s">
        <v>21</v>
      </c>
      <c r="B62">
        <v>3</v>
      </c>
      <c r="C62">
        <v>2400</v>
      </c>
    </row>
    <row r="63" spans="1:3" x14ac:dyDescent="0.2">
      <c r="A63" t="s">
        <v>22</v>
      </c>
      <c r="B63">
        <v>3</v>
      </c>
      <c r="C63">
        <v>1800</v>
      </c>
    </row>
    <row r="64" spans="1:3" x14ac:dyDescent="0.2">
      <c r="A64" t="s">
        <v>23</v>
      </c>
      <c r="B64">
        <v>3</v>
      </c>
      <c r="C64">
        <v>1161</v>
      </c>
    </row>
    <row r="65" spans="1:3" x14ac:dyDescent="0.2">
      <c r="A65" t="s">
        <v>88</v>
      </c>
      <c r="B65">
        <v>3</v>
      </c>
      <c r="C65">
        <v>2048</v>
      </c>
    </row>
    <row r="66" spans="1:3" x14ac:dyDescent="0.2">
      <c r="A66" t="s">
        <v>24</v>
      </c>
      <c r="B66">
        <v>3</v>
      </c>
      <c r="C66">
        <v>663</v>
      </c>
    </row>
    <row r="67" spans="1:3" x14ac:dyDescent="0.2">
      <c r="A67" t="s">
        <v>5</v>
      </c>
      <c r="B67">
        <v>4</v>
      </c>
      <c r="C67">
        <v>1800</v>
      </c>
    </row>
    <row r="68" spans="1:3" x14ac:dyDescent="0.2">
      <c r="A68" t="s">
        <v>6</v>
      </c>
      <c r="B68">
        <v>4</v>
      </c>
      <c r="C68">
        <v>2470</v>
      </c>
    </row>
    <row r="69" spans="1:3" x14ac:dyDescent="0.2">
      <c r="A69" t="s">
        <v>7</v>
      </c>
      <c r="B69">
        <v>4</v>
      </c>
      <c r="C69">
        <v>3799.2307692307691</v>
      </c>
    </row>
    <row r="70" spans="1:3" x14ac:dyDescent="0.2">
      <c r="A70" t="s">
        <v>8</v>
      </c>
      <c r="B70">
        <v>4</v>
      </c>
      <c r="C70">
        <v>1600</v>
      </c>
    </row>
    <row r="71" spans="1:3" x14ac:dyDescent="0.2">
      <c r="A71" t="s">
        <v>9</v>
      </c>
      <c r="B71">
        <v>4</v>
      </c>
      <c r="C71">
        <v>2370</v>
      </c>
    </row>
    <row r="72" spans="1:3" x14ac:dyDescent="0.2">
      <c r="A72" t="s">
        <v>10</v>
      </c>
      <c r="B72">
        <v>4</v>
      </c>
      <c r="C72">
        <v>3350</v>
      </c>
    </row>
    <row r="73" spans="1:3" x14ac:dyDescent="0.2">
      <c r="A73" t="s">
        <v>11</v>
      </c>
      <c r="B73">
        <v>4</v>
      </c>
      <c r="C73">
        <v>400</v>
      </c>
    </row>
    <row r="74" spans="1:3" x14ac:dyDescent="0.2">
      <c r="A74" t="s">
        <v>12</v>
      </c>
      <c r="B74">
        <v>4</v>
      </c>
      <c r="C74">
        <v>690</v>
      </c>
    </row>
    <row r="75" spans="1:3" x14ac:dyDescent="0.2">
      <c r="A75" t="s">
        <v>13</v>
      </c>
      <c r="B75">
        <v>4</v>
      </c>
      <c r="C75">
        <v>1310</v>
      </c>
    </row>
    <row r="76" spans="1:3" x14ac:dyDescent="0.2">
      <c r="A76" t="s">
        <v>14</v>
      </c>
      <c r="B76">
        <v>4</v>
      </c>
      <c r="C76">
        <v>1625</v>
      </c>
    </row>
    <row r="77" spans="1:3" x14ac:dyDescent="0.2">
      <c r="A77" t="s">
        <v>15</v>
      </c>
      <c r="B77">
        <v>4</v>
      </c>
      <c r="C77">
        <v>1600</v>
      </c>
    </row>
    <row r="78" spans="1:3" x14ac:dyDescent="0.2">
      <c r="A78" t="s">
        <v>16</v>
      </c>
      <c r="B78">
        <v>4</v>
      </c>
      <c r="C78">
        <v>2470</v>
      </c>
    </row>
    <row r="79" spans="1:3" x14ac:dyDescent="0.2">
      <c r="A79" t="s">
        <v>17</v>
      </c>
      <c r="B79">
        <v>4</v>
      </c>
      <c r="C79">
        <v>6000</v>
      </c>
    </row>
    <row r="80" spans="1:3" x14ac:dyDescent="0.2">
      <c r="A80" t="s">
        <v>18</v>
      </c>
      <c r="B80">
        <v>4</v>
      </c>
      <c r="C80">
        <v>3100</v>
      </c>
    </row>
    <row r="81" spans="1:3" x14ac:dyDescent="0.2">
      <c r="A81" t="s">
        <v>19</v>
      </c>
      <c r="B81">
        <v>4</v>
      </c>
      <c r="C81">
        <v>4586</v>
      </c>
    </row>
    <row r="82" spans="1:3" x14ac:dyDescent="0.2">
      <c r="A82" t="s">
        <v>20</v>
      </c>
      <c r="B82">
        <v>4</v>
      </c>
      <c r="C82">
        <v>3000</v>
      </c>
    </row>
    <row r="83" spans="1:3" x14ac:dyDescent="0.2">
      <c r="A83" t="s">
        <v>21</v>
      </c>
      <c r="B83">
        <v>4</v>
      </c>
      <c r="C83">
        <v>2400</v>
      </c>
    </row>
    <row r="84" spans="1:3" x14ac:dyDescent="0.2">
      <c r="A84" t="s">
        <v>22</v>
      </c>
      <c r="B84">
        <v>4</v>
      </c>
      <c r="C84">
        <v>1800</v>
      </c>
    </row>
    <row r="85" spans="1:3" x14ac:dyDescent="0.2">
      <c r="A85" t="s">
        <v>23</v>
      </c>
      <c r="B85">
        <v>4</v>
      </c>
      <c r="C85">
        <v>1161</v>
      </c>
    </row>
    <row r="86" spans="1:3" x14ac:dyDescent="0.2">
      <c r="A86" t="s">
        <v>88</v>
      </c>
      <c r="B86">
        <v>4</v>
      </c>
      <c r="C86">
        <v>2048</v>
      </c>
    </row>
    <row r="87" spans="1:3" x14ac:dyDescent="0.2">
      <c r="A87" t="s">
        <v>24</v>
      </c>
      <c r="B87">
        <v>4</v>
      </c>
      <c r="C87">
        <v>663</v>
      </c>
    </row>
    <row r="88" spans="1:3" x14ac:dyDescent="0.2">
      <c r="A88" t="s">
        <v>5</v>
      </c>
      <c r="B88">
        <v>5</v>
      </c>
      <c r="C88">
        <v>1800</v>
      </c>
    </row>
    <row r="89" spans="1:3" x14ac:dyDescent="0.2">
      <c r="A89" t="s">
        <v>6</v>
      </c>
      <c r="B89">
        <v>5</v>
      </c>
      <c r="C89">
        <v>2400</v>
      </c>
    </row>
    <row r="90" spans="1:3" x14ac:dyDescent="0.2">
      <c r="A90" t="s">
        <v>7</v>
      </c>
      <c r="B90">
        <v>5</v>
      </c>
      <c r="C90">
        <v>3799.2307692307691</v>
      </c>
    </row>
    <row r="91" spans="1:3" x14ac:dyDescent="0.2">
      <c r="A91" t="s">
        <v>8</v>
      </c>
      <c r="B91">
        <v>5</v>
      </c>
      <c r="C91">
        <v>1600</v>
      </c>
    </row>
    <row r="92" spans="1:3" x14ac:dyDescent="0.2">
      <c r="A92" t="s">
        <v>9</v>
      </c>
      <c r="B92">
        <v>5</v>
      </c>
      <c r="C92">
        <v>2300</v>
      </c>
    </row>
    <row r="93" spans="1:3" x14ac:dyDescent="0.2">
      <c r="A93" t="s">
        <v>10</v>
      </c>
      <c r="B93">
        <v>5</v>
      </c>
      <c r="C93">
        <v>3250</v>
      </c>
    </row>
    <row r="94" spans="1:3" x14ac:dyDescent="0.2">
      <c r="A94" t="s">
        <v>11</v>
      </c>
      <c r="B94">
        <v>5</v>
      </c>
      <c r="C94">
        <v>400</v>
      </c>
    </row>
    <row r="95" spans="1:3" x14ac:dyDescent="0.2">
      <c r="A95" t="s">
        <v>12</v>
      </c>
      <c r="B95">
        <v>5</v>
      </c>
      <c r="C95">
        <v>660</v>
      </c>
    </row>
    <row r="96" spans="1:3" x14ac:dyDescent="0.2">
      <c r="A96" t="s">
        <v>13</v>
      </c>
      <c r="B96">
        <v>5</v>
      </c>
      <c r="C96">
        <v>1290</v>
      </c>
    </row>
    <row r="97" spans="1:3" x14ac:dyDescent="0.2">
      <c r="A97" t="s">
        <v>14</v>
      </c>
      <c r="B97">
        <v>5</v>
      </c>
      <c r="C97">
        <v>1500</v>
      </c>
    </row>
    <row r="98" spans="1:3" x14ac:dyDescent="0.2">
      <c r="A98" t="s">
        <v>15</v>
      </c>
      <c r="B98">
        <v>5</v>
      </c>
      <c r="C98">
        <v>1600</v>
      </c>
    </row>
    <row r="99" spans="1:3" x14ac:dyDescent="0.2">
      <c r="A99" t="s">
        <v>16</v>
      </c>
      <c r="B99">
        <v>5</v>
      </c>
      <c r="C99">
        <v>2400</v>
      </c>
    </row>
    <row r="100" spans="1:3" x14ac:dyDescent="0.2">
      <c r="A100" t="s">
        <v>17</v>
      </c>
      <c r="B100">
        <v>5</v>
      </c>
      <c r="C100">
        <v>6000</v>
      </c>
    </row>
    <row r="101" spans="1:3" x14ac:dyDescent="0.2">
      <c r="A101" t="s">
        <v>18</v>
      </c>
      <c r="B101">
        <v>5</v>
      </c>
      <c r="C101">
        <v>2025</v>
      </c>
    </row>
    <row r="102" spans="1:3" x14ac:dyDescent="0.2">
      <c r="A102" t="s">
        <v>19</v>
      </c>
      <c r="B102">
        <v>5</v>
      </c>
      <c r="C102">
        <v>3749</v>
      </c>
    </row>
    <row r="103" spans="1:3" x14ac:dyDescent="0.2">
      <c r="A103" t="s">
        <v>20</v>
      </c>
      <c r="B103">
        <v>5</v>
      </c>
      <c r="C103">
        <v>3000</v>
      </c>
    </row>
    <row r="104" spans="1:3" x14ac:dyDescent="0.2">
      <c r="A104" t="s">
        <v>21</v>
      </c>
      <c r="B104">
        <v>5</v>
      </c>
      <c r="C104">
        <v>2350</v>
      </c>
    </row>
    <row r="105" spans="1:3" x14ac:dyDescent="0.2">
      <c r="A105" t="s">
        <v>22</v>
      </c>
      <c r="B105">
        <v>5</v>
      </c>
      <c r="C105">
        <v>1700</v>
      </c>
    </row>
    <row r="106" spans="1:3" x14ac:dyDescent="0.2">
      <c r="A106" t="s">
        <v>23</v>
      </c>
      <c r="B106">
        <v>5</v>
      </c>
      <c r="C106">
        <v>1010</v>
      </c>
    </row>
    <row r="107" spans="1:3" x14ac:dyDescent="0.2">
      <c r="A107" t="s">
        <v>88</v>
      </c>
      <c r="B107">
        <v>5</v>
      </c>
      <c r="C107">
        <v>1929</v>
      </c>
    </row>
    <row r="108" spans="1:3" x14ac:dyDescent="0.2">
      <c r="A108" t="s">
        <v>24</v>
      </c>
      <c r="B108">
        <v>5</v>
      </c>
      <c r="C108">
        <v>519</v>
      </c>
    </row>
    <row r="109" spans="1:3" x14ac:dyDescent="0.2">
      <c r="A109" t="s">
        <v>5</v>
      </c>
      <c r="B109">
        <v>6</v>
      </c>
      <c r="C109">
        <v>1800</v>
      </c>
    </row>
    <row r="110" spans="1:3" x14ac:dyDescent="0.2">
      <c r="A110" t="s">
        <v>6</v>
      </c>
      <c r="B110">
        <v>6</v>
      </c>
      <c r="C110">
        <v>2330</v>
      </c>
    </row>
    <row r="111" spans="1:3" x14ac:dyDescent="0.2">
      <c r="A111" t="s">
        <v>7</v>
      </c>
      <c r="B111">
        <v>6</v>
      </c>
      <c r="C111">
        <v>3799.2307692307691</v>
      </c>
    </row>
    <row r="112" spans="1:3" x14ac:dyDescent="0.2">
      <c r="A112" t="s">
        <v>8</v>
      </c>
      <c r="B112">
        <v>6</v>
      </c>
      <c r="C112">
        <v>1600</v>
      </c>
    </row>
    <row r="113" spans="1:3" x14ac:dyDescent="0.2">
      <c r="A113" t="s">
        <v>9</v>
      </c>
      <c r="B113">
        <v>6</v>
      </c>
      <c r="C113">
        <v>2230</v>
      </c>
    </row>
    <row r="114" spans="1:3" x14ac:dyDescent="0.2">
      <c r="A114" t="s">
        <v>10</v>
      </c>
      <c r="B114">
        <v>6</v>
      </c>
      <c r="C114">
        <v>3250</v>
      </c>
    </row>
    <row r="115" spans="1:3" x14ac:dyDescent="0.2">
      <c r="A115" t="s">
        <v>11</v>
      </c>
      <c r="B115">
        <v>6</v>
      </c>
      <c r="C115">
        <v>400</v>
      </c>
    </row>
    <row r="116" spans="1:3" x14ac:dyDescent="0.2">
      <c r="A116" t="s">
        <v>12</v>
      </c>
      <c r="B116">
        <v>6</v>
      </c>
      <c r="C116">
        <v>660</v>
      </c>
    </row>
    <row r="117" spans="1:3" x14ac:dyDescent="0.2">
      <c r="A117" t="s">
        <v>13</v>
      </c>
      <c r="B117">
        <v>6</v>
      </c>
      <c r="C117">
        <v>1270</v>
      </c>
    </row>
    <row r="118" spans="1:3" x14ac:dyDescent="0.2">
      <c r="A118" t="s">
        <v>14</v>
      </c>
      <c r="B118">
        <v>6</v>
      </c>
      <c r="C118">
        <v>1500</v>
      </c>
    </row>
    <row r="119" spans="1:3" x14ac:dyDescent="0.2">
      <c r="A119" t="s">
        <v>15</v>
      </c>
      <c r="B119">
        <v>6</v>
      </c>
      <c r="C119">
        <v>1600</v>
      </c>
    </row>
    <row r="120" spans="1:3" x14ac:dyDescent="0.2">
      <c r="A120" t="s">
        <v>16</v>
      </c>
      <c r="B120">
        <v>6</v>
      </c>
      <c r="C120">
        <v>2330</v>
      </c>
    </row>
    <row r="121" spans="1:3" x14ac:dyDescent="0.2">
      <c r="A121" t="s">
        <v>17</v>
      </c>
      <c r="B121">
        <v>6</v>
      </c>
      <c r="C121">
        <v>6000</v>
      </c>
    </row>
    <row r="122" spans="1:3" x14ac:dyDescent="0.2">
      <c r="A122" t="s">
        <v>18</v>
      </c>
      <c r="B122">
        <v>6</v>
      </c>
      <c r="C122">
        <v>2025</v>
      </c>
    </row>
    <row r="123" spans="1:3" x14ac:dyDescent="0.2">
      <c r="A123" t="s">
        <v>19</v>
      </c>
      <c r="B123">
        <v>6</v>
      </c>
      <c r="C123">
        <v>3749</v>
      </c>
    </row>
    <row r="124" spans="1:3" x14ac:dyDescent="0.2">
      <c r="A124" t="s">
        <v>20</v>
      </c>
      <c r="B124">
        <v>6</v>
      </c>
      <c r="C124">
        <v>3000</v>
      </c>
    </row>
    <row r="125" spans="1:3" x14ac:dyDescent="0.2">
      <c r="A125" t="s">
        <v>21</v>
      </c>
      <c r="B125">
        <v>6</v>
      </c>
      <c r="C125">
        <v>2350</v>
      </c>
    </row>
    <row r="126" spans="1:3" x14ac:dyDescent="0.2">
      <c r="A126" t="s">
        <v>22</v>
      </c>
      <c r="B126">
        <v>6</v>
      </c>
      <c r="C126">
        <v>1700</v>
      </c>
    </row>
    <row r="127" spans="1:3" x14ac:dyDescent="0.2">
      <c r="A127" t="s">
        <v>23</v>
      </c>
      <c r="B127">
        <v>6</v>
      </c>
      <c r="C127">
        <v>1010</v>
      </c>
    </row>
    <row r="128" spans="1:3" x14ac:dyDescent="0.2">
      <c r="A128" t="s">
        <v>88</v>
      </c>
      <c r="B128">
        <v>6</v>
      </c>
      <c r="C128">
        <v>1929</v>
      </c>
    </row>
    <row r="129" spans="1:3" x14ac:dyDescent="0.2">
      <c r="A129" t="s">
        <v>24</v>
      </c>
      <c r="B129">
        <v>6</v>
      </c>
      <c r="C129">
        <v>519</v>
      </c>
    </row>
    <row r="130" spans="1:3" x14ac:dyDescent="0.2">
      <c r="A130" t="s">
        <v>5</v>
      </c>
      <c r="B130">
        <v>7</v>
      </c>
      <c r="C130">
        <v>1800</v>
      </c>
    </row>
    <row r="131" spans="1:3" x14ac:dyDescent="0.2">
      <c r="A131" t="s">
        <v>6</v>
      </c>
      <c r="B131">
        <v>7</v>
      </c>
      <c r="C131">
        <v>2250</v>
      </c>
    </row>
    <row r="132" spans="1:3" x14ac:dyDescent="0.2">
      <c r="A132" t="s">
        <v>7</v>
      </c>
      <c r="B132">
        <v>7</v>
      </c>
      <c r="C132">
        <v>3799.2307692307691</v>
      </c>
    </row>
    <row r="133" spans="1:3" x14ac:dyDescent="0.2">
      <c r="A133" t="s">
        <v>8</v>
      </c>
      <c r="B133">
        <v>7</v>
      </c>
      <c r="C133">
        <v>1600</v>
      </c>
    </row>
    <row r="134" spans="1:3" x14ac:dyDescent="0.2">
      <c r="A134" t="s">
        <v>9</v>
      </c>
      <c r="B134">
        <v>7</v>
      </c>
      <c r="C134">
        <v>2150</v>
      </c>
    </row>
    <row r="135" spans="1:3" x14ac:dyDescent="0.2">
      <c r="A135" t="s">
        <v>10</v>
      </c>
      <c r="B135">
        <v>7</v>
      </c>
      <c r="C135">
        <v>3150</v>
      </c>
    </row>
    <row r="136" spans="1:3" x14ac:dyDescent="0.2">
      <c r="A136" t="s">
        <v>11</v>
      </c>
      <c r="B136">
        <v>7</v>
      </c>
      <c r="C136">
        <v>400</v>
      </c>
    </row>
    <row r="137" spans="1:3" x14ac:dyDescent="0.2">
      <c r="A137" t="s">
        <v>12</v>
      </c>
      <c r="B137">
        <v>7</v>
      </c>
      <c r="C137">
        <v>640</v>
      </c>
    </row>
    <row r="138" spans="1:3" x14ac:dyDescent="0.2">
      <c r="A138" t="s">
        <v>13</v>
      </c>
      <c r="B138">
        <v>7</v>
      </c>
      <c r="C138">
        <v>1250</v>
      </c>
    </row>
    <row r="139" spans="1:3" x14ac:dyDescent="0.2">
      <c r="A139" t="s">
        <v>14</v>
      </c>
      <c r="B139">
        <v>7</v>
      </c>
      <c r="C139">
        <v>1500</v>
      </c>
    </row>
    <row r="140" spans="1:3" x14ac:dyDescent="0.2">
      <c r="A140" t="s">
        <v>15</v>
      </c>
      <c r="B140">
        <v>7</v>
      </c>
      <c r="C140">
        <v>1600</v>
      </c>
    </row>
    <row r="141" spans="1:3" x14ac:dyDescent="0.2">
      <c r="A141" t="s">
        <v>16</v>
      </c>
      <c r="B141">
        <v>7</v>
      </c>
      <c r="C141">
        <v>2250</v>
      </c>
    </row>
    <row r="142" spans="1:3" x14ac:dyDescent="0.2">
      <c r="A142" t="s">
        <v>17</v>
      </c>
      <c r="B142">
        <v>7</v>
      </c>
      <c r="C142">
        <v>6000</v>
      </c>
    </row>
    <row r="143" spans="1:3" x14ac:dyDescent="0.2">
      <c r="A143" t="s">
        <v>18</v>
      </c>
      <c r="B143">
        <v>7</v>
      </c>
      <c r="C143">
        <v>1975</v>
      </c>
    </row>
    <row r="144" spans="1:3" x14ac:dyDescent="0.2">
      <c r="A144" t="s">
        <v>19</v>
      </c>
      <c r="B144">
        <v>7</v>
      </c>
      <c r="C144">
        <v>3306</v>
      </c>
    </row>
    <row r="145" spans="1:3" x14ac:dyDescent="0.2">
      <c r="A145" t="s">
        <v>20</v>
      </c>
      <c r="B145">
        <v>7</v>
      </c>
      <c r="C145">
        <v>3000</v>
      </c>
    </row>
    <row r="146" spans="1:3" x14ac:dyDescent="0.2">
      <c r="A146" t="s">
        <v>21</v>
      </c>
      <c r="B146">
        <v>7</v>
      </c>
      <c r="C146">
        <v>2300</v>
      </c>
    </row>
    <row r="147" spans="1:3" x14ac:dyDescent="0.2">
      <c r="A147" t="s">
        <v>22</v>
      </c>
      <c r="B147">
        <v>7</v>
      </c>
      <c r="C147">
        <v>1700</v>
      </c>
    </row>
    <row r="148" spans="1:3" x14ac:dyDescent="0.2">
      <c r="A148" t="s">
        <v>23</v>
      </c>
      <c r="B148">
        <v>7</v>
      </c>
      <c r="C148">
        <v>943</v>
      </c>
    </row>
    <row r="149" spans="1:3" x14ac:dyDescent="0.2">
      <c r="A149" t="s">
        <v>88</v>
      </c>
      <c r="B149">
        <v>7</v>
      </c>
      <c r="C149">
        <v>1891</v>
      </c>
    </row>
    <row r="150" spans="1:3" x14ac:dyDescent="0.2">
      <c r="A150" t="s">
        <v>24</v>
      </c>
      <c r="B150">
        <v>7</v>
      </c>
      <c r="C150">
        <v>454</v>
      </c>
    </row>
    <row r="151" spans="1:3" x14ac:dyDescent="0.2">
      <c r="A151" t="s">
        <v>5</v>
      </c>
      <c r="B151">
        <v>8</v>
      </c>
      <c r="C151">
        <v>1800</v>
      </c>
    </row>
    <row r="152" spans="1:3" x14ac:dyDescent="0.2">
      <c r="A152" t="s">
        <v>6</v>
      </c>
      <c r="B152">
        <v>8</v>
      </c>
      <c r="C152">
        <v>2600</v>
      </c>
    </row>
    <row r="153" spans="1:3" x14ac:dyDescent="0.2">
      <c r="A153" t="s">
        <v>7</v>
      </c>
      <c r="B153">
        <v>8</v>
      </c>
      <c r="C153">
        <v>3799.2307692307691</v>
      </c>
    </row>
    <row r="154" spans="1:3" x14ac:dyDescent="0.2">
      <c r="A154" t="s">
        <v>8</v>
      </c>
      <c r="B154">
        <v>8</v>
      </c>
      <c r="C154">
        <v>1600</v>
      </c>
    </row>
    <row r="155" spans="1:3" x14ac:dyDescent="0.2">
      <c r="A155" t="s">
        <v>9</v>
      </c>
      <c r="B155">
        <v>8</v>
      </c>
      <c r="C155">
        <v>2500</v>
      </c>
    </row>
    <row r="156" spans="1:3" x14ac:dyDescent="0.2">
      <c r="A156" t="s">
        <v>10</v>
      </c>
      <c r="B156">
        <v>8</v>
      </c>
      <c r="C156">
        <v>3150</v>
      </c>
    </row>
    <row r="157" spans="1:3" x14ac:dyDescent="0.2">
      <c r="A157" t="s">
        <v>11</v>
      </c>
      <c r="B157">
        <v>8</v>
      </c>
      <c r="C157">
        <v>400</v>
      </c>
    </row>
    <row r="158" spans="1:3" x14ac:dyDescent="0.2">
      <c r="A158" t="s">
        <v>12</v>
      </c>
      <c r="B158">
        <v>8</v>
      </c>
      <c r="C158">
        <v>640</v>
      </c>
    </row>
    <row r="159" spans="1:3" x14ac:dyDescent="0.2">
      <c r="A159" t="s">
        <v>13</v>
      </c>
      <c r="B159">
        <v>8</v>
      </c>
      <c r="C159">
        <v>1350</v>
      </c>
    </row>
    <row r="160" spans="1:3" x14ac:dyDescent="0.2">
      <c r="A160" t="s">
        <v>14</v>
      </c>
      <c r="B160">
        <v>8</v>
      </c>
      <c r="C160">
        <v>1500</v>
      </c>
    </row>
    <row r="161" spans="1:3" x14ac:dyDescent="0.2">
      <c r="A161" t="s">
        <v>15</v>
      </c>
      <c r="B161">
        <v>8</v>
      </c>
      <c r="C161">
        <v>1600</v>
      </c>
    </row>
    <row r="162" spans="1:3" x14ac:dyDescent="0.2">
      <c r="A162" t="s">
        <v>16</v>
      </c>
      <c r="B162">
        <v>8</v>
      </c>
      <c r="C162">
        <v>2600</v>
      </c>
    </row>
    <row r="163" spans="1:3" x14ac:dyDescent="0.2">
      <c r="A163" t="s">
        <v>17</v>
      </c>
      <c r="B163">
        <v>8</v>
      </c>
      <c r="C163">
        <v>6000</v>
      </c>
    </row>
    <row r="164" spans="1:3" x14ac:dyDescent="0.2">
      <c r="A164" t="s">
        <v>18</v>
      </c>
      <c r="B164">
        <v>8</v>
      </c>
      <c r="C164">
        <v>1975</v>
      </c>
    </row>
    <row r="165" spans="1:3" x14ac:dyDescent="0.2">
      <c r="A165" t="s">
        <v>19</v>
      </c>
      <c r="B165">
        <v>8</v>
      </c>
      <c r="C165">
        <v>3306</v>
      </c>
    </row>
    <row r="166" spans="1:3" x14ac:dyDescent="0.2">
      <c r="A166" t="s">
        <v>20</v>
      </c>
      <c r="B166">
        <v>8</v>
      </c>
      <c r="C166">
        <v>3000</v>
      </c>
    </row>
    <row r="167" spans="1:3" x14ac:dyDescent="0.2">
      <c r="A167" t="s">
        <v>21</v>
      </c>
      <c r="B167">
        <v>8</v>
      </c>
      <c r="C167">
        <v>2300</v>
      </c>
    </row>
    <row r="168" spans="1:3" x14ac:dyDescent="0.2">
      <c r="A168" t="s">
        <v>22</v>
      </c>
      <c r="B168">
        <v>8</v>
      </c>
      <c r="C168">
        <v>1700</v>
      </c>
    </row>
    <row r="169" spans="1:3" x14ac:dyDescent="0.2">
      <c r="A169" t="s">
        <v>23</v>
      </c>
      <c r="B169">
        <v>8</v>
      </c>
      <c r="C169">
        <v>943</v>
      </c>
    </row>
    <row r="170" spans="1:3" x14ac:dyDescent="0.2">
      <c r="A170" t="s">
        <v>88</v>
      </c>
      <c r="B170">
        <v>8</v>
      </c>
      <c r="C170">
        <v>1891</v>
      </c>
    </row>
    <row r="171" spans="1:3" x14ac:dyDescent="0.2">
      <c r="A171" t="s">
        <v>24</v>
      </c>
      <c r="B171">
        <v>8</v>
      </c>
      <c r="C171">
        <v>454</v>
      </c>
    </row>
    <row r="172" spans="1:3" x14ac:dyDescent="0.2">
      <c r="A172" t="s">
        <v>25</v>
      </c>
      <c r="B172">
        <v>1</v>
      </c>
      <c r="C172">
        <v>2030</v>
      </c>
    </row>
    <row r="173" spans="1:3" x14ac:dyDescent="0.2">
      <c r="A173" t="s">
        <v>25</v>
      </c>
      <c r="B173">
        <v>2</v>
      </c>
      <c r="C173">
        <v>2030</v>
      </c>
    </row>
    <row r="174" spans="1:3" x14ac:dyDescent="0.2">
      <c r="A174" t="s">
        <v>25</v>
      </c>
      <c r="B174">
        <v>3</v>
      </c>
      <c r="C174">
        <v>2013</v>
      </c>
    </row>
    <row r="175" spans="1:3" x14ac:dyDescent="0.2">
      <c r="A175" t="s">
        <v>25</v>
      </c>
      <c r="B175">
        <v>4</v>
      </c>
      <c r="C175">
        <v>2013</v>
      </c>
    </row>
    <row r="176" spans="1:3" x14ac:dyDescent="0.2">
      <c r="A176" t="s">
        <v>25</v>
      </c>
      <c r="B176">
        <v>5</v>
      </c>
      <c r="C176">
        <v>2005</v>
      </c>
    </row>
    <row r="177" spans="1:3" x14ac:dyDescent="0.2">
      <c r="A177" t="s">
        <v>25</v>
      </c>
      <c r="B177">
        <v>6</v>
      </c>
      <c r="C177">
        <v>2005</v>
      </c>
    </row>
    <row r="178" spans="1:3" x14ac:dyDescent="0.2">
      <c r="A178" t="s">
        <v>25</v>
      </c>
      <c r="B178">
        <v>7</v>
      </c>
      <c r="C178">
        <v>1997</v>
      </c>
    </row>
    <row r="179" spans="1:3" x14ac:dyDescent="0.2">
      <c r="A179" t="s">
        <v>25</v>
      </c>
      <c r="B179">
        <v>8</v>
      </c>
      <c r="C179">
        <v>1997</v>
      </c>
    </row>
    <row r="180" spans="1:3" x14ac:dyDescent="0.2">
      <c r="A180" t="s">
        <v>89</v>
      </c>
      <c r="B180">
        <v>1</v>
      </c>
      <c r="C180" s="18">
        <v>4244.1666666666661</v>
      </c>
    </row>
    <row r="181" spans="1:3" x14ac:dyDescent="0.2">
      <c r="A181" t="s">
        <v>89</v>
      </c>
      <c r="B181">
        <v>2</v>
      </c>
      <c r="C181" s="18">
        <v>3472.5</v>
      </c>
    </row>
    <row r="182" spans="1:3" x14ac:dyDescent="0.2">
      <c r="A182" t="s">
        <v>89</v>
      </c>
      <c r="B182">
        <v>3</v>
      </c>
      <c r="C182" s="18">
        <v>2539.52</v>
      </c>
    </row>
    <row r="183" spans="1:3" x14ac:dyDescent="0.2">
      <c r="A183" t="s">
        <v>89</v>
      </c>
      <c r="B183">
        <v>4</v>
      </c>
      <c r="C183" s="18">
        <v>2503.1111111111113</v>
      </c>
    </row>
    <row r="184" spans="1:3" x14ac:dyDescent="0.2">
      <c r="A184" t="s">
        <v>89</v>
      </c>
      <c r="B184">
        <v>5</v>
      </c>
      <c r="C184" s="18">
        <v>2314.7999999999997</v>
      </c>
    </row>
    <row r="185" spans="1:3" x14ac:dyDescent="0.2">
      <c r="A185" t="s">
        <v>89</v>
      </c>
      <c r="B185">
        <v>6</v>
      </c>
      <c r="C185" s="18">
        <v>2284.3421052631579</v>
      </c>
    </row>
    <row r="186" spans="1:3" x14ac:dyDescent="0.2">
      <c r="A186" t="s">
        <v>89</v>
      </c>
      <c r="B186">
        <v>7</v>
      </c>
      <c r="C186" s="18">
        <v>2239.3421052631579</v>
      </c>
    </row>
    <row r="187" spans="1:3" x14ac:dyDescent="0.2">
      <c r="A187" t="s">
        <v>89</v>
      </c>
      <c r="B187">
        <v>8</v>
      </c>
      <c r="C187" s="18">
        <v>2239.3421052631579</v>
      </c>
    </row>
  </sheetData>
  <autoFilter ref="A1:C179" xr:uid="{7C2F75F1-22D4-4B25-877D-02FDA8CF96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140D-15F6-46C3-90DF-3BF42CF695F9}">
  <dimension ref="A1:C187"/>
  <sheetViews>
    <sheetView topLeftCell="A166" workbookViewId="0">
      <selection activeCell="C39" sqref="C39"/>
    </sheetView>
  </sheetViews>
  <sheetFormatPr baseColWidth="10" defaultColWidth="10.83203125" defaultRowHeight="15" x14ac:dyDescent="0.2"/>
  <cols>
    <col min="1" max="1" width="27.33203125" customWidth="1"/>
    <col min="2" max="2" width="5.83203125" bestFit="1" customWidth="1"/>
    <col min="3" max="3" width="30.5" bestFit="1" customWidth="1"/>
  </cols>
  <sheetData>
    <row r="1" spans="1:3" x14ac:dyDescent="0.2">
      <c r="A1" t="s">
        <v>0</v>
      </c>
    </row>
    <row r="2" spans="1:3" x14ac:dyDescent="0.2">
      <c r="A2" t="s">
        <v>26</v>
      </c>
    </row>
    <row r="3" spans="1:3" ht="32" x14ac:dyDescent="0.2">
      <c r="A3" t="s">
        <v>2</v>
      </c>
      <c r="B3" s="1" t="s">
        <v>3</v>
      </c>
      <c r="C3" t="s">
        <v>4</v>
      </c>
    </row>
    <row r="4" spans="1:3" x14ac:dyDescent="0.2">
      <c r="A4" t="s">
        <v>5</v>
      </c>
      <c r="B4">
        <v>1</v>
      </c>
      <c r="C4">
        <v>32.5</v>
      </c>
    </row>
    <row r="5" spans="1:3" x14ac:dyDescent="0.2">
      <c r="A5" t="s">
        <v>6</v>
      </c>
      <c r="B5">
        <v>1</v>
      </c>
      <c r="C5">
        <v>51.37</v>
      </c>
    </row>
    <row r="6" spans="1:3" x14ac:dyDescent="0.2">
      <c r="A6" t="s">
        <v>7</v>
      </c>
      <c r="B6">
        <v>1</v>
      </c>
      <c r="C6">
        <v>79.650000000000006</v>
      </c>
    </row>
    <row r="7" spans="1:3" x14ac:dyDescent="0.2">
      <c r="A7" t="s">
        <v>8</v>
      </c>
      <c r="B7">
        <v>1</v>
      </c>
      <c r="C7">
        <v>25.6</v>
      </c>
    </row>
    <row r="8" spans="1:3" x14ac:dyDescent="0.2">
      <c r="A8" t="s">
        <v>9</v>
      </c>
      <c r="B8">
        <v>1</v>
      </c>
      <c r="C8">
        <v>46.96</v>
      </c>
    </row>
    <row r="9" spans="1:3" x14ac:dyDescent="0.2">
      <c r="A9" t="s">
        <v>10</v>
      </c>
      <c r="B9">
        <v>1</v>
      </c>
      <c r="C9">
        <v>69.8</v>
      </c>
    </row>
    <row r="10" spans="1:3" x14ac:dyDescent="0.2">
      <c r="A10" t="s">
        <v>11</v>
      </c>
      <c r="B10">
        <v>1</v>
      </c>
      <c r="C10">
        <v>19.5</v>
      </c>
    </row>
    <row r="11" spans="1:3" x14ac:dyDescent="0.2">
      <c r="A11" t="s">
        <v>12</v>
      </c>
      <c r="B11">
        <v>1</v>
      </c>
      <c r="C11">
        <v>15</v>
      </c>
    </row>
    <row r="12" spans="1:3" x14ac:dyDescent="0.2">
      <c r="A12" t="s">
        <v>13</v>
      </c>
      <c r="B12">
        <v>1</v>
      </c>
      <c r="C12">
        <v>46.875</v>
      </c>
    </row>
    <row r="13" spans="1:3" x14ac:dyDescent="0.2">
      <c r="A13" t="s">
        <v>14</v>
      </c>
      <c r="B13">
        <v>1</v>
      </c>
      <c r="C13">
        <v>41</v>
      </c>
    </row>
    <row r="14" spans="1:3" x14ac:dyDescent="0.2">
      <c r="A14" t="s">
        <v>15</v>
      </c>
      <c r="B14">
        <v>1</v>
      </c>
      <c r="C14">
        <v>32.4</v>
      </c>
    </row>
    <row r="15" spans="1:3" x14ac:dyDescent="0.2">
      <c r="A15" t="s">
        <v>16</v>
      </c>
      <c r="B15">
        <v>1</v>
      </c>
      <c r="C15">
        <v>51.37</v>
      </c>
    </row>
    <row r="16" spans="1:3" x14ac:dyDescent="0.2">
      <c r="A16" t="s">
        <v>17</v>
      </c>
      <c r="B16">
        <v>1</v>
      </c>
      <c r="C16">
        <v>120</v>
      </c>
    </row>
    <row r="17" spans="1:3" x14ac:dyDescent="0.2">
      <c r="A17" t="s">
        <v>18</v>
      </c>
      <c r="B17">
        <v>1</v>
      </c>
      <c r="C17">
        <v>39.6</v>
      </c>
    </row>
    <row r="18" spans="1:3" x14ac:dyDescent="0.2">
      <c r="A18" t="s">
        <v>19</v>
      </c>
      <c r="B18">
        <v>1</v>
      </c>
      <c r="C18">
        <v>95</v>
      </c>
    </row>
    <row r="19" spans="1:3" x14ac:dyDescent="0.2">
      <c r="A19" t="s">
        <v>20</v>
      </c>
      <c r="B19">
        <v>1</v>
      </c>
      <c r="C19">
        <v>25.5</v>
      </c>
    </row>
    <row r="20" spans="1:3" x14ac:dyDescent="0.2">
      <c r="A20" t="s">
        <v>21</v>
      </c>
      <c r="B20">
        <v>1</v>
      </c>
      <c r="C20">
        <v>8.9</v>
      </c>
    </row>
    <row r="21" spans="1:3" x14ac:dyDescent="0.2">
      <c r="A21" t="s">
        <v>22</v>
      </c>
      <c r="B21">
        <v>1</v>
      </c>
      <c r="C21">
        <v>47.5</v>
      </c>
    </row>
    <row r="22" spans="1:3" x14ac:dyDescent="0.2">
      <c r="A22" t="s">
        <v>23</v>
      </c>
      <c r="B22">
        <v>1</v>
      </c>
      <c r="C22">
        <v>14</v>
      </c>
    </row>
    <row r="23" spans="1:3" x14ac:dyDescent="0.2">
      <c r="A23" t="s">
        <v>88</v>
      </c>
      <c r="B23">
        <v>1</v>
      </c>
      <c r="C23">
        <v>42</v>
      </c>
    </row>
    <row r="24" spans="1:3" x14ac:dyDescent="0.2">
      <c r="A24" t="s">
        <v>24</v>
      </c>
      <c r="B24">
        <v>1</v>
      </c>
      <c r="C24">
        <v>12.6</v>
      </c>
    </row>
    <row r="25" spans="1:3" x14ac:dyDescent="0.2">
      <c r="A25" t="s">
        <v>5</v>
      </c>
      <c r="B25">
        <v>2</v>
      </c>
      <c r="C25">
        <v>32.5</v>
      </c>
    </row>
    <row r="26" spans="1:3" x14ac:dyDescent="0.2">
      <c r="A26" t="s">
        <v>6</v>
      </c>
      <c r="B26">
        <v>2</v>
      </c>
      <c r="C26">
        <v>51.37</v>
      </c>
    </row>
    <row r="27" spans="1:3" x14ac:dyDescent="0.2">
      <c r="A27" t="s">
        <v>7</v>
      </c>
      <c r="B27">
        <v>2</v>
      </c>
      <c r="C27">
        <v>79.650000000000006</v>
      </c>
    </row>
    <row r="28" spans="1:3" x14ac:dyDescent="0.2">
      <c r="A28" t="s">
        <v>8</v>
      </c>
      <c r="B28">
        <v>2</v>
      </c>
      <c r="C28">
        <v>25.6</v>
      </c>
    </row>
    <row r="29" spans="1:3" x14ac:dyDescent="0.2">
      <c r="A29" t="s">
        <v>9</v>
      </c>
      <c r="B29">
        <v>2</v>
      </c>
      <c r="C29">
        <v>46.96</v>
      </c>
    </row>
    <row r="30" spans="1:3" x14ac:dyDescent="0.2">
      <c r="A30" t="s">
        <v>10</v>
      </c>
      <c r="B30">
        <v>2</v>
      </c>
      <c r="C30">
        <v>69.8</v>
      </c>
    </row>
    <row r="31" spans="1:3" x14ac:dyDescent="0.2">
      <c r="A31" t="s">
        <v>11</v>
      </c>
      <c r="B31">
        <v>2</v>
      </c>
      <c r="C31">
        <v>19.5</v>
      </c>
    </row>
    <row r="32" spans="1:3" x14ac:dyDescent="0.2">
      <c r="A32" t="s">
        <v>12</v>
      </c>
      <c r="B32">
        <v>2</v>
      </c>
      <c r="C32">
        <v>15</v>
      </c>
    </row>
    <row r="33" spans="1:3" x14ac:dyDescent="0.2">
      <c r="A33" t="s">
        <v>13</v>
      </c>
      <c r="B33">
        <v>2</v>
      </c>
      <c r="C33">
        <v>46.875</v>
      </c>
    </row>
    <row r="34" spans="1:3" x14ac:dyDescent="0.2">
      <c r="A34" t="s">
        <v>14</v>
      </c>
      <c r="B34">
        <v>2</v>
      </c>
      <c r="C34">
        <v>41</v>
      </c>
    </row>
    <row r="35" spans="1:3" x14ac:dyDescent="0.2">
      <c r="A35" t="s">
        <v>15</v>
      </c>
      <c r="B35">
        <v>2</v>
      </c>
      <c r="C35">
        <v>32.4</v>
      </c>
    </row>
    <row r="36" spans="1:3" x14ac:dyDescent="0.2">
      <c r="A36" t="s">
        <v>16</v>
      </c>
      <c r="B36">
        <v>2</v>
      </c>
      <c r="C36">
        <v>51.37</v>
      </c>
    </row>
    <row r="37" spans="1:3" x14ac:dyDescent="0.2">
      <c r="A37" t="s">
        <v>17</v>
      </c>
      <c r="B37">
        <v>2</v>
      </c>
      <c r="C37">
        <v>120</v>
      </c>
    </row>
    <row r="38" spans="1:3" x14ac:dyDescent="0.2">
      <c r="A38" t="s">
        <v>18</v>
      </c>
      <c r="B38">
        <v>2</v>
      </c>
      <c r="C38">
        <v>39.6</v>
      </c>
    </row>
    <row r="39" spans="1:3" x14ac:dyDescent="0.2">
      <c r="A39" t="s">
        <v>19</v>
      </c>
      <c r="B39">
        <v>2</v>
      </c>
      <c r="C39">
        <v>95</v>
      </c>
    </row>
    <row r="40" spans="1:3" x14ac:dyDescent="0.2">
      <c r="A40" t="s">
        <v>20</v>
      </c>
      <c r="B40">
        <v>2</v>
      </c>
      <c r="C40">
        <v>25.5</v>
      </c>
    </row>
    <row r="41" spans="1:3" x14ac:dyDescent="0.2">
      <c r="A41" t="s">
        <v>21</v>
      </c>
      <c r="B41">
        <v>2</v>
      </c>
      <c r="C41">
        <v>8.9</v>
      </c>
    </row>
    <row r="42" spans="1:3" x14ac:dyDescent="0.2">
      <c r="A42" t="s">
        <v>22</v>
      </c>
      <c r="B42">
        <v>2</v>
      </c>
      <c r="C42">
        <v>47.5</v>
      </c>
    </row>
    <row r="43" spans="1:3" x14ac:dyDescent="0.2">
      <c r="A43" t="s">
        <v>23</v>
      </c>
      <c r="B43">
        <v>2</v>
      </c>
      <c r="C43">
        <v>14</v>
      </c>
    </row>
    <row r="44" spans="1:3" x14ac:dyDescent="0.2">
      <c r="A44" t="s">
        <v>88</v>
      </c>
      <c r="B44">
        <v>2</v>
      </c>
      <c r="C44">
        <v>42</v>
      </c>
    </row>
    <row r="45" spans="1:3" x14ac:dyDescent="0.2">
      <c r="A45" t="s">
        <v>24</v>
      </c>
      <c r="B45">
        <v>2</v>
      </c>
      <c r="C45">
        <v>12.6</v>
      </c>
    </row>
    <row r="46" spans="1:3" x14ac:dyDescent="0.2">
      <c r="A46" t="s">
        <v>5</v>
      </c>
      <c r="B46">
        <v>3</v>
      </c>
      <c r="C46">
        <v>32.5</v>
      </c>
    </row>
    <row r="47" spans="1:3" x14ac:dyDescent="0.2">
      <c r="A47" t="s">
        <v>6</v>
      </c>
      <c r="B47">
        <v>3</v>
      </c>
      <c r="C47">
        <v>51.37</v>
      </c>
    </row>
    <row r="48" spans="1:3" x14ac:dyDescent="0.2">
      <c r="A48" t="s">
        <v>7</v>
      </c>
      <c r="B48">
        <v>3</v>
      </c>
      <c r="C48">
        <v>79.650000000000006</v>
      </c>
    </row>
    <row r="49" spans="1:3" x14ac:dyDescent="0.2">
      <c r="A49" t="s">
        <v>8</v>
      </c>
      <c r="B49">
        <v>3</v>
      </c>
      <c r="C49">
        <v>25.6</v>
      </c>
    </row>
    <row r="50" spans="1:3" x14ac:dyDescent="0.2">
      <c r="A50" t="s">
        <v>9</v>
      </c>
      <c r="B50">
        <v>3</v>
      </c>
      <c r="C50">
        <v>46.96</v>
      </c>
    </row>
    <row r="51" spans="1:3" x14ac:dyDescent="0.2">
      <c r="A51" t="s">
        <v>10</v>
      </c>
      <c r="B51">
        <v>3</v>
      </c>
      <c r="C51">
        <v>65.900000000000006</v>
      </c>
    </row>
    <row r="52" spans="1:3" x14ac:dyDescent="0.2">
      <c r="A52" t="s">
        <v>11</v>
      </c>
      <c r="B52">
        <v>3</v>
      </c>
      <c r="C52">
        <v>19.5</v>
      </c>
    </row>
    <row r="53" spans="1:3" x14ac:dyDescent="0.2">
      <c r="A53" t="s">
        <v>12</v>
      </c>
      <c r="B53">
        <v>3</v>
      </c>
      <c r="C53">
        <v>15</v>
      </c>
    </row>
    <row r="54" spans="1:3" x14ac:dyDescent="0.2">
      <c r="A54" t="s">
        <v>13</v>
      </c>
      <c r="B54">
        <v>3</v>
      </c>
      <c r="C54">
        <v>46.875</v>
      </c>
    </row>
    <row r="55" spans="1:3" x14ac:dyDescent="0.2">
      <c r="A55" t="s">
        <v>14</v>
      </c>
      <c r="B55">
        <v>3</v>
      </c>
      <c r="C55">
        <v>38.200000000000003</v>
      </c>
    </row>
    <row r="56" spans="1:3" x14ac:dyDescent="0.2">
      <c r="A56" t="s">
        <v>15</v>
      </c>
      <c r="B56">
        <v>3</v>
      </c>
      <c r="C56">
        <v>32.4</v>
      </c>
    </row>
    <row r="57" spans="1:3" x14ac:dyDescent="0.2">
      <c r="A57" t="s">
        <v>16</v>
      </c>
      <c r="B57">
        <v>3</v>
      </c>
      <c r="C57">
        <v>51.37</v>
      </c>
    </row>
    <row r="58" spans="1:3" x14ac:dyDescent="0.2">
      <c r="A58" t="s">
        <v>17</v>
      </c>
      <c r="B58">
        <v>3</v>
      </c>
      <c r="C58">
        <v>115</v>
      </c>
    </row>
    <row r="59" spans="1:3" x14ac:dyDescent="0.2">
      <c r="A59" t="s">
        <v>18</v>
      </c>
      <c r="B59">
        <v>3</v>
      </c>
      <c r="C59">
        <v>33.299999999999997</v>
      </c>
    </row>
    <row r="60" spans="1:3" x14ac:dyDescent="0.2">
      <c r="A60" t="s">
        <v>19</v>
      </c>
      <c r="B60">
        <v>3</v>
      </c>
      <c r="C60">
        <v>95</v>
      </c>
    </row>
    <row r="61" spans="1:3" x14ac:dyDescent="0.2">
      <c r="A61" t="s">
        <v>20</v>
      </c>
      <c r="B61">
        <v>3</v>
      </c>
      <c r="C61">
        <v>25.5</v>
      </c>
    </row>
    <row r="62" spans="1:3" x14ac:dyDescent="0.2">
      <c r="A62" t="s">
        <v>21</v>
      </c>
      <c r="B62">
        <v>3</v>
      </c>
      <c r="C62">
        <v>8.1999999999999993</v>
      </c>
    </row>
    <row r="63" spans="1:3" x14ac:dyDescent="0.2">
      <c r="A63" t="s">
        <v>22</v>
      </c>
      <c r="B63">
        <v>3</v>
      </c>
      <c r="C63">
        <v>40.1</v>
      </c>
    </row>
    <row r="64" spans="1:3" x14ac:dyDescent="0.2">
      <c r="A64" t="s">
        <v>23</v>
      </c>
      <c r="B64">
        <v>3</v>
      </c>
      <c r="C64">
        <v>14</v>
      </c>
    </row>
    <row r="65" spans="1:3" x14ac:dyDescent="0.2">
      <c r="A65" t="s">
        <v>88</v>
      </c>
      <c r="B65">
        <v>3</v>
      </c>
      <c r="C65">
        <v>31</v>
      </c>
    </row>
    <row r="66" spans="1:3" x14ac:dyDescent="0.2">
      <c r="A66" t="s">
        <v>24</v>
      </c>
      <c r="B66">
        <v>3</v>
      </c>
      <c r="C66">
        <v>10.8</v>
      </c>
    </row>
    <row r="67" spans="1:3" x14ac:dyDescent="0.2">
      <c r="A67" t="s">
        <v>5</v>
      </c>
      <c r="B67">
        <v>4</v>
      </c>
      <c r="C67">
        <v>32.5</v>
      </c>
    </row>
    <row r="68" spans="1:3" x14ac:dyDescent="0.2">
      <c r="A68" t="s">
        <v>6</v>
      </c>
      <c r="B68">
        <v>4</v>
      </c>
      <c r="C68">
        <v>51.37</v>
      </c>
    </row>
    <row r="69" spans="1:3" x14ac:dyDescent="0.2">
      <c r="A69" t="s">
        <v>7</v>
      </c>
      <c r="B69">
        <v>4</v>
      </c>
      <c r="C69">
        <v>79.650000000000006</v>
      </c>
    </row>
    <row r="70" spans="1:3" x14ac:dyDescent="0.2">
      <c r="A70" t="s">
        <v>8</v>
      </c>
      <c r="B70">
        <v>4</v>
      </c>
      <c r="C70">
        <v>25.6</v>
      </c>
    </row>
    <row r="71" spans="1:3" x14ac:dyDescent="0.2">
      <c r="A71" t="s">
        <v>9</v>
      </c>
      <c r="B71">
        <v>4</v>
      </c>
      <c r="C71">
        <v>46.96</v>
      </c>
    </row>
    <row r="72" spans="1:3" x14ac:dyDescent="0.2">
      <c r="A72" t="s">
        <v>10</v>
      </c>
      <c r="B72">
        <v>4</v>
      </c>
      <c r="C72">
        <v>65.900000000000006</v>
      </c>
    </row>
    <row r="73" spans="1:3" x14ac:dyDescent="0.2">
      <c r="A73" t="s">
        <v>11</v>
      </c>
      <c r="B73">
        <v>4</v>
      </c>
      <c r="C73">
        <v>19.5</v>
      </c>
    </row>
    <row r="74" spans="1:3" x14ac:dyDescent="0.2">
      <c r="A74" t="s">
        <v>12</v>
      </c>
      <c r="B74">
        <v>4</v>
      </c>
      <c r="C74">
        <v>15</v>
      </c>
    </row>
    <row r="75" spans="1:3" x14ac:dyDescent="0.2">
      <c r="A75" t="s">
        <v>13</v>
      </c>
      <c r="B75">
        <v>4</v>
      </c>
      <c r="C75">
        <v>46.875</v>
      </c>
    </row>
    <row r="76" spans="1:3" x14ac:dyDescent="0.2">
      <c r="A76" t="s">
        <v>14</v>
      </c>
      <c r="B76">
        <v>4</v>
      </c>
      <c r="C76">
        <v>38.200000000000003</v>
      </c>
    </row>
    <row r="77" spans="1:3" x14ac:dyDescent="0.2">
      <c r="A77" t="s">
        <v>15</v>
      </c>
      <c r="B77">
        <v>4</v>
      </c>
      <c r="C77">
        <v>32.4</v>
      </c>
    </row>
    <row r="78" spans="1:3" x14ac:dyDescent="0.2">
      <c r="A78" t="s">
        <v>16</v>
      </c>
      <c r="B78">
        <v>4</v>
      </c>
      <c r="C78">
        <v>51.37</v>
      </c>
    </row>
    <row r="79" spans="1:3" x14ac:dyDescent="0.2">
      <c r="A79" t="s">
        <v>17</v>
      </c>
      <c r="B79">
        <v>4</v>
      </c>
      <c r="C79">
        <v>115</v>
      </c>
    </row>
    <row r="80" spans="1:3" x14ac:dyDescent="0.2">
      <c r="A80" t="s">
        <v>18</v>
      </c>
      <c r="B80">
        <v>4</v>
      </c>
      <c r="C80">
        <v>33.299999999999997</v>
      </c>
    </row>
    <row r="81" spans="1:3" x14ac:dyDescent="0.2">
      <c r="A81" t="s">
        <v>19</v>
      </c>
      <c r="B81">
        <v>4</v>
      </c>
      <c r="C81">
        <v>95</v>
      </c>
    </row>
    <row r="82" spans="1:3" x14ac:dyDescent="0.2">
      <c r="A82" t="s">
        <v>20</v>
      </c>
      <c r="B82">
        <v>4</v>
      </c>
      <c r="C82">
        <v>25.5</v>
      </c>
    </row>
    <row r="83" spans="1:3" x14ac:dyDescent="0.2">
      <c r="A83" t="s">
        <v>21</v>
      </c>
      <c r="B83">
        <v>4</v>
      </c>
      <c r="C83">
        <v>8.1999999999999993</v>
      </c>
    </row>
    <row r="84" spans="1:3" x14ac:dyDescent="0.2">
      <c r="A84" t="s">
        <v>22</v>
      </c>
      <c r="B84">
        <v>4</v>
      </c>
      <c r="C84">
        <v>40.1</v>
      </c>
    </row>
    <row r="85" spans="1:3" x14ac:dyDescent="0.2">
      <c r="A85" t="s">
        <v>23</v>
      </c>
      <c r="B85">
        <v>4</v>
      </c>
      <c r="C85">
        <v>14</v>
      </c>
    </row>
    <row r="86" spans="1:3" x14ac:dyDescent="0.2">
      <c r="A86" t="s">
        <v>88</v>
      </c>
      <c r="B86">
        <v>4</v>
      </c>
      <c r="C86">
        <v>31</v>
      </c>
    </row>
    <row r="87" spans="1:3" x14ac:dyDescent="0.2">
      <c r="A87" t="s">
        <v>24</v>
      </c>
      <c r="B87">
        <v>4</v>
      </c>
      <c r="C87">
        <v>10.8</v>
      </c>
    </row>
    <row r="88" spans="1:3" x14ac:dyDescent="0.2">
      <c r="A88" t="s">
        <v>5</v>
      </c>
      <c r="B88">
        <v>5</v>
      </c>
      <c r="C88">
        <v>32.5</v>
      </c>
    </row>
    <row r="89" spans="1:3" x14ac:dyDescent="0.2">
      <c r="A89" t="s">
        <v>6</v>
      </c>
      <c r="B89">
        <v>5</v>
      </c>
      <c r="C89">
        <v>50.04</v>
      </c>
    </row>
    <row r="90" spans="1:3" x14ac:dyDescent="0.2">
      <c r="A90" t="s">
        <v>7</v>
      </c>
      <c r="B90">
        <v>5</v>
      </c>
      <c r="C90">
        <v>79.650000000000006</v>
      </c>
    </row>
    <row r="91" spans="1:3" x14ac:dyDescent="0.2">
      <c r="A91" t="s">
        <v>8</v>
      </c>
      <c r="B91">
        <v>5</v>
      </c>
      <c r="C91">
        <v>25.6</v>
      </c>
    </row>
    <row r="92" spans="1:3" x14ac:dyDescent="0.2">
      <c r="A92" t="s">
        <v>9</v>
      </c>
      <c r="B92">
        <v>5</v>
      </c>
      <c r="C92">
        <v>45.85</v>
      </c>
    </row>
    <row r="93" spans="1:3" x14ac:dyDescent="0.2">
      <c r="A93" t="s">
        <v>10</v>
      </c>
      <c r="B93">
        <v>5</v>
      </c>
      <c r="C93">
        <v>63.9</v>
      </c>
    </row>
    <row r="94" spans="1:3" x14ac:dyDescent="0.2">
      <c r="A94" t="s">
        <v>11</v>
      </c>
      <c r="B94">
        <v>5</v>
      </c>
      <c r="C94">
        <v>19.5</v>
      </c>
    </row>
    <row r="95" spans="1:3" x14ac:dyDescent="0.2">
      <c r="A95" t="s">
        <v>12</v>
      </c>
      <c r="B95">
        <v>5</v>
      </c>
      <c r="C95">
        <v>15</v>
      </c>
    </row>
    <row r="96" spans="1:3" x14ac:dyDescent="0.2">
      <c r="A96" t="s">
        <v>13</v>
      </c>
      <c r="B96">
        <v>5</v>
      </c>
      <c r="C96">
        <v>46.875</v>
      </c>
    </row>
    <row r="97" spans="1:3" x14ac:dyDescent="0.2">
      <c r="A97" t="s">
        <v>14</v>
      </c>
      <c r="B97">
        <v>5</v>
      </c>
      <c r="C97">
        <v>35</v>
      </c>
    </row>
    <row r="98" spans="1:3" x14ac:dyDescent="0.2">
      <c r="A98" t="s">
        <v>15</v>
      </c>
      <c r="B98">
        <v>5</v>
      </c>
      <c r="C98">
        <v>32.4</v>
      </c>
    </row>
    <row r="99" spans="1:3" x14ac:dyDescent="0.2">
      <c r="A99" t="s">
        <v>16</v>
      </c>
      <c r="B99">
        <v>5</v>
      </c>
      <c r="C99">
        <v>50.04</v>
      </c>
    </row>
    <row r="100" spans="1:3" x14ac:dyDescent="0.2">
      <c r="A100" t="s">
        <v>17</v>
      </c>
      <c r="B100">
        <v>5</v>
      </c>
      <c r="C100">
        <v>108</v>
      </c>
    </row>
    <row r="101" spans="1:3" x14ac:dyDescent="0.2">
      <c r="A101" t="s">
        <v>18</v>
      </c>
      <c r="B101">
        <v>5</v>
      </c>
      <c r="C101">
        <v>28</v>
      </c>
    </row>
    <row r="102" spans="1:3" x14ac:dyDescent="0.2">
      <c r="A102" t="s">
        <v>19</v>
      </c>
      <c r="B102">
        <v>5</v>
      </c>
      <c r="C102">
        <v>92</v>
      </c>
    </row>
    <row r="103" spans="1:3" x14ac:dyDescent="0.2">
      <c r="A103" t="s">
        <v>20</v>
      </c>
      <c r="B103">
        <v>5</v>
      </c>
      <c r="C103">
        <v>25.5</v>
      </c>
    </row>
    <row r="104" spans="1:3" x14ac:dyDescent="0.2">
      <c r="A104" t="s">
        <v>21</v>
      </c>
      <c r="B104">
        <v>5</v>
      </c>
      <c r="C104">
        <v>8.1999999999999993</v>
      </c>
    </row>
    <row r="105" spans="1:3" x14ac:dyDescent="0.2">
      <c r="A105" t="s">
        <v>22</v>
      </c>
      <c r="B105">
        <v>5</v>
      </c>
      <c r="C105">
        <v>39.200000000000003</v>
      </c>
    </row>
    <row r="106" spans="1:3" x14ac:dyDescent="0.2">
      <c r="A106" t="s">
        <v>23</v>
      </c>
      <c r="B106">
        <v>5</v>
      </c>
      <c r="C106">
        <v>13</v>
      </c>
    </row>
    <row r="107" spans="1:3" x14ac:dyDescent="0.2">
      <c r="A107" t="s">
        <v>88</v>
      </c>
      <c r="B107">
        <v>5</v>
      </c>
      <c r="C107">
        <v>29</v>
      </c>
    </row>
    <row r="108" spans="1:3" x14ac:dyDescent="0.2">
      <c r="A108" t="s">
        <v>24</v>
      </c>
      <c r="B108">
        <v>5</v>
      </c>
      <c r="C108">
        <v>10</v>
      </c>
    </row>
    <row r="109" spans="1:3" x14ac:dyDescent="0.2">
      <c r="A109" t="s">
        <v>5</v>
      </c>
      <c r="B109">
        <v>6</v>
      </c>
      <c r="C109">
        <v>32.5</v>
      </c>
    </row>
    <row r="110" spans="1:3" x14ac:dyDescent="0.2">
      <c r="A110" t="s">
        <v>6</v>
      </c>
      <c r="B110">
        <v>6</v>
      </c>
      <c r="C110">
        <v>48.71</v>
      </c>
    </row>
    <row r="111" spans="1:3" x14ac:dyDescent="0.2">
      <c r="A111" t="s">
        <v>7</v>
      </c>
      <c r="B111">
        <v>6</v>
      </c>
      <c r="C111">
        <v>79.650000000000006</v>
      </c>
    </row>
    <row r="112" spans="1:3" x14ac:dyDescent="0.2">
      <c r="A112" t="s">
        <v>8</v>
      </c>
      <c r="B112">
        <v>6</v>
      </c>
      <c r="C112">
        <v>25.6</v>
      </c>
    </row>
    <row r="113" spans="1:3" x14ac:dyDescent="0.2">
      <c r="A113" t="s">
        <v>9</v>
      </c>
      <c r="B113">
        <v>6</v>
      </c>
      <c r="C113">
        <v>44.73</v>
      </c>
    </row>
    <row r="114" spans="1:3" x14ac:dyDescent="0.2">
      <c r="A114" t="s">
        <v>10</v>
      </c>
      <c r="B114">
        <v>6</v>
      </c>
      <c r="C114">
        <v>63.9</v>
      </c>
    </row>
    <row r="115" spans="1:3" x14ac:dyDescent="0.2">
      <c r="A115" t="s">
        <v>11</v>
      </c>
      <c r="B115">
        <v>6</v>
      </c>
      <c r="C115">
        <v>19.5</v>
      </c>
    </row>
    <row r="116" spans="1:3" x14ac:dyDescent="0.2">
      <c r="A116" t="s">
        <v>12</v>
      </c>
      <c r="B116">
        <v>6</v>
      </c>
      <c r="C116">
        <v>15</v>
      </c>
    </row>
    <row r="117" spans="1:3" x14ac:dyDescent="0.2">
      <c r="A117" t="s">
        <v>13</v>
      </c>
      <c r="B117">
        <v>6</v>
      </c>
      <c r="C117">
        <v>46.875</v>
      </c>
    </row>
    <row r="118" spans="1:3" x14ac:dyDescent="0.2">
      <c r="A118" t="s">
        <v>14</v>
      </c>
      <c r="B118">
        <v>6</v>
      </c>
      <c r="C118">
        <v>35</v>
      </c>
    </row>
    <row r="119" spans="1:3" x14ac:dyDescent="0.2">
      <c r="A119" t="s">
        <v>15</v>
      </c>
      <c r="B119">
        <v>6</v>
      </c>
      <c r="C119">
        <v>32.4</v>
      </c>
    </row>
    <row r="120" spans="1:3" x14ac:dyDescent="0.2">
      <c r="A120" t="s">
        <v>16</v>
      </c>
      <c r="B120">
        <v>6</v>
      </c>
      <c r="C120">
        <v>48.71</v>
      </c>
    </row>
    <row r="121" spans="1:3" x14ac:dyDescent="0.2">
      <c r="A121" t="s">
        <v>17</v>
      </c>
      <c r="B121">
        <v>6</v>
      </c>
      <c r="C121">
        <v>108</v>
      </c>
    </row>
    <row r="122" spans="1:3" x14ac:dyDescent="0.2">
      <c r="A122" t="s">
        <v>18</v>
      </c>
      <c r="B122">
        <v>6</v>
      </c>
      <c r="C122">
        <v>28</v>
      </c>
    </row>
    <row r="123" spans="1:3" x14ac:dyDescent="0.2">
      <c r="A123" t="s">
        <v>19</v>
      </c>
      <c r="B123">
        <v>6</v>
      </c>
      <c r="C123">
        <v>92</v>
      </c>
    </row>
    <row r="124" spans="1:3" x14ac:dyDescent="0.2">
      <c r="A124" t="s">
        <v>20</v>
      </c>
      <c r="B124">
        <v>6</v>
      </c>
      <c r="C124">
        <v>25.5</v>
      </c>
    </row>
    <row r="125" spans="1:3" x14ac:dyDescent="0.2">
      <c r="A125" t="s">
        <v>21</v>
      </c>
      <c r="B125">
        <v>6</v>
      </c>
      <c r="C125">
        <v>8.1999999999999993</v>
      </c>
    </row>
    <row r="126" spans="1:3" x14ac:dyDescent="0.2">
      <c r="A126" t="s">
        <v>22</v>
      </c>
      <c r="B126">
        <v>6</v>
      </c>
      <c r="C126">
        <v>39.200000000000003</v>
      </c>
    </row>
    <row r="127" spans="1:3" x14ac:dyDescent="0.2">
      <c r="A127" t="s">
        <v>23</v>
      </c>
      <c r="B127">
        <v>6</v>
      </c>
      <c r="C127">
        <v>13</v>
      </c>
    </row>
    <row r="128" spans="1:3" x14ac:dyDescent="0.2">
      <c r="A128" t="s">
        <v>88</v>
      </c>
      <c r="B128">
        <v>6</v>
      </c>
      <c r="C128">
        <v>29</v>
      </c>
    </row>
    <row r="129" spans="1:3" x14ac:dyDescent="0.2">
      <c r="A129" t="s">
        <v>24</v>
      </c>
      <c r="B129">
        <v>6</v>
      </c>
      <c r="C129">
        <v>10</v>
      </c>
    </row>
    <row r="130" spans="1:3" x14ac:dyDescent="0.2">
      <c r="A130" t="s">
        <v>5</v>
      </c>
      <c r="B130">
        <v>7</v>
      </c>
      <c r="C130">
        <v>32.5</v>
      </c>
    </row>
    <row r="131" spans="1:3" x14ac:dyDescent="0.2">
      <c r="A131" t="s">
        <v>6</v>
      </c>
      <c r="B131">
        <v>7</v>
      </c>
      <c r="C131">
        <v>47.39</v>
      </c>
    </row>
    <row r="132" spans="1:3" x14ac:dyDescent="0.2">
      <c r="A132" t="s">
        <v>7</v>
      </c>
      <c r="B132">
        <v>7</v>
      </c>
      <c r="C132">
        <v>79.650000000000006</v>
      </c>
    </row>
    <row r="133" spans="1:3" x14ac:dyDescent="0.2">
      <c r="A133" t="s">
        <v>8</v>
      </c>
      <c r="B133">
        <v>7</v>
      </c>
      <c r="C133">
        <v>25.6</v>
      </c>
    </row>
    <row r="134" spans="1:3" x14ac:dyDescent="0.2">
      <c r="A134" t="s">
        <v>9</v>
      </c>
      <c r="B134">
        <v>7</v>
      </c>
      <c r="C134">
        <v>43.62</v>
      </c>
    </row>
    <row r="135" spans="1:3" x14ac:dyDescent="0.2">
      <c r="A135" t="s">
        <v>10</v>
      </c>
      <c r="B135">
        <v>7</v>
      </c>
      <c r="C135">
        <v>61.9</v>
      </c>
    </row>
    <row r="136" spans="1:3" x14ac:dyDescent="0.2">
      <c r="A136" t="s">
        <v>11</v>
      </c>
      <c r="B136">
        <v>7</v>
      </c>
      <c r="C136">
        <v>19.5</v>
      </c>
    </row>
    <row r="137" spans="1:3" x14ac:dyDescent="0.2">
      <c r="A137" t="s">
        <v>12</v>
      </c>
      <c r="B137">
        <v>7</v>
      </c>
      <c r="C137">
        <v>15</v>
      </c>
    </row>
    <row r="138" spans="1:3" x14ac:dyDescent="0.2">
      <c r="A138" t="s">
        <v>13</v>
      </c>
      <c r="B138">
        <v>7</v>
      </c>
      <c r="C138">
        <v>46.875</v>
      </c>
    </row>
    <row r="139" spans="1:3" x14ac:dyDescent="0.2">
      <c r="A139" t="s">
        <v>14</v>
      </c>
      <c r="B139">
        <v>7</v>
      </c>
      <c r="C139">
        <v>34.299999999999997</v>
      </c>
    </row>
    <row r="140" spans="1:3" x14ac:dyDescent="0.2">
      <c r="A140" t="s">
        <v>15</v>
      </c>
      <c r="B140">
        <v>7</v>
      </c>
      <c r="C140">
        <v>32.4</v>
      </c>
    </row>
    <row r="141" spans="1:3" x14ac:dyDescent="0.2">
      <c r="A141" t="s">
        <v>16</v>
      </c>
      <c r="B141">
        <v>7</v>
      </c>
      <c r="C141">
        <v>47.39</v>
      </c>
    </row>
    <row r="142" spans="1:3" x14ac:dyDescent="0.2">
      <c r="A142" t="s">
        <v>17</v>
      </c>
      <c r="B142">
        <v>7</v>
      </c>
      <c r="C142">
        <v>105</v>
      </c>
    </row>
    <row r="143" spans="1:3" x14ac:dyDescent="0.2">
      <c r="A143" t="s">
        <v>18</v>
      </c>
      <c r="B143">
        <v>7</v>
      </c>
      <c r="C143">
        <v>23.5</v>
      </c>
    </row>
    <row r="144" spans="1:3" x14ac:dyDescent="0.2">
      <c r="A144" t="s">
        <v>19</v>
      </c>
      <c r="B144">
        <v>7</v>
      </c>
      <c r="C144">
        <v>92</v>
      </c>
    </row>
    <row r="145" spans="1:3" x14ac:dyDescent="0.2">
      <c r="A145" t="s">
        <v>20</v>
      </c>
      <c r="B145">
        <v>7</v>
      </c>
      <c r="C145">
        <v>25.5</v>
      </c>
    </row>
    <row r="146" spans="1:3" x14ac:dyDescent="0.2">
      <c r="A146" t="s">
        <v>21</v>
      </c>
      <c r="B146">
        <v>7</v>
      </c>
      <c r="C146">
        <v>8.1</v>
      </c>
    </row>
    <row r="147" spans="1:3" x14ac:dyDescent="0.2">
      <c r="A147" t="s">
        <v>22</v>
      </c>
      <c r="B147">
        <v>7</v>
      </c>
      <c r="C147">
        <v>38.4</v>
      </c>
    </row>
    <row r="148" spans="1:3" x14ac:dyDescent="0.2">
      <c r="A148" t="s">
        <v>23</v>
      </c>
      <c r="B148">
        <v>7</v>
      </c>
      <c r="C148">
        <v>12</v>
      </c>
    </row>
    <row r="149" spans="1:3" x14ac:dyDescent="0.2">
      <c r="A149" t="s">
        <v>88</v>
      </c>
      <c r="B149">
        <v>7</v>
      </c>
      <c r="C149">
        <v>28</v>
      </c>
    </row>
    <row r="150" spans="1:3" x14ac:dyDescent="0.2">
      <c r="A150" t="s">
        <v>24</v>
      </c>
      <c r="B150">
        <v>7</v>
      </c>
      <c r="C150">
        <v>9.1999999999999993</v>
      </c>
    </row>
    <row r="151" spans="1:3" x14ac:dyDescent="0.2">
      <c r="A151" t="s">
        <v>5</v>
      </c>
      <c r="B151">
        <v>8</v>
      </c>
      <c r="C151">
        <v>32.5</v>
      </c>
    </row>
    <row r="152" spans="1:3" x14ac:dyDescent="0.2">
      <c r="A152" t="s">
        <v>6</v>
      </c>
      <c r="B152">
        <v>8</v>
      </c>
      <c r="C152">
        <v>46.06</v>
      </c>
    </row>
    <row r="153" spans="1:3" x14ac:dyDescent="0.2">
      <c r="A153" t="s">
        <v>7</v>
      </c>
      <c r="B153">
        <v>8</v>
      </c>
      <c r="C153">
        <v>79.650000000000006</v>
      </c>
    </row>
    <row r="154" spans="1:3" x14ac:dyDescent="0.2">
      <c r="A154" t="s">
        <v>8</v>
      </c>
      <c r="B154">
        <v>8</v>
      </c>
      <c r="C154">
        <v>25.6</v>
      </c>
    </row>
    <row r="155" spans="1:3" x14ac:dyDescent="0.2">
      <c r="A155" t="s">
        <v>9</v>
      </c>
      <c r="B155">
        <v>8</v>
      </c>
      <c r="C155">
        <v>42.5</v>
      </c>
    </row>
    <row r="156" spans="1:3" x14ac:dyDescent="0.2">
      <c r="A156" t="s">
        <v>10</v>
      </c>
      <c r="B156">
        <v>8</v>
      </c>
      <c r="C156">
        <v>61.9</v>
      </c>
    </row>
    <row r="157" spans="1:3" x14ac:dyDescent="0.2">
      <c r="A157" t="s">
        <v>11</v>
      </c>
      <c r="B157">
        <v>8</v>
      </c>
      <c r="C157">
        <v>19.5</v>
      </c>
    </row>
    <row r="158" spans="1:3" x14ac:dyDescent="0.2">
      <c r="A158" t="s">
        <v>12</v>
      </c>
      <c r="B158">
        <v>8</v>
      </c>
      <c r="C158">
        <v>15</v>
      </c>
    </row>
    <row r="159" spans="1:3" x14ac:dyDescent="0.2">
      <c r="A159" t="s">
        <v>13</v>
      </c>
      <c r="B159">
        <v>8</v>
      </c>
      <c r="C159">
        <v>46.875</v>
      </c>
    </row>
    <row r="160" spans="1:3" x14ac:dyDescent="0.2">
      <c r="A160" t="s">
        <v>14</v>
      </c>
      <c r="B160">
        <v>8</v>
      </c>
      <c r="C160">
        <v>34.299999999999997</v>
      </c>
    </row>
    <row r="161" spans="1:3" x14ac:dyDescent="0.2">
      <c r="A161" t="s">
        <v>15</v>
      </c>
      <c r="B161">
        <v>8</v>
      </c>
      <c r="C161">
        <v>32.4</v>
      </c>
    </row>
    <row r="162" spans="1:3" x14ac:dyDescent="0.2">
      <c r="A162" t="s">
        <v>16</v>
      </c>
      <c r="B162">
        <v>8</v>
      </c>
      <c r="C162">
        <v>46.06</v>
      </c>
    </row>
    <row r="163" spans="1:3" x14ac:dyDescent="0.2">
      <c r="A163" t="s">
        <v>17</v>
      </c>
      <c r="B163">
        <v>8</v>
      </c>
      <c r="C163">
        <v>105</v>
      </c>
    </row>
    <row r="164" spans="1:3" x14ac:dyDescent="0.2">
      <c r="A164" t="s">
        <v>18</v>
      </c>
      <c r="B164">
        <v>8</v>
      </c>
      <c r="C164">
        <v>23.5</v>
      </c>
    </row>
    <row r="165" spans="1:3" x14ac:dyDescent="0.2">
      <c r="A165" t="s">
        <v>19</v>
      </c>
      <c r="B165">
        <v>8</v>
      </c>
      <c r="C165">
        <v>92</v>
      </c>
    </row>
    <row r="166" spans="1:3" x14ac:dyDescent="0.2">
      <c r="A166" t="s">
        <v>20</v>
      </c>
      <c r="B166">
        <v>8</v>
      </c>
      <c r="C166">
        <v>25.5</v>
      </c>
    </row>
    <row r="167" spans="1:3" x14ac:dyDescent="0.2">
      <c r="A167" t="s">
        <v>21</v>
      </c>
      <c r="B167">
        <v>8</v>
      </c>
      <c r="C167">
        <v>8.1</v>
      </c>
    </row>
    <row r="168" spans="1:3" x14ac:dyDescent="0.2">
      <c r="A168" t="s">
        <v>22</v>
      </c>
      <c r="B168">
        <v>8</v>
      </c>
      <c r="C168">
        <v>38.4</v>
      </c>
    </row>
    <row r="169" spans="1:3" x14ac:dyDescent="0.2">
      <c r="A169" t="s">
        <v>23</v>
      </c>
      <c r="B169">
        <v>8</v>
      </c>
      <c r="C169">
        <v>12</v>
      </c>
    </row>
    <row r="170" spans="1:3" x14ac:dyDescent="0.2">
      <c r="A170" t="s">
        <v>88</v>
      </c>
      <c r="B170">
        <v>8</v>
      </c>
      <c r="C170">
        <v>28</v>
      </c>
    </row>
    <row r="171" spans="1:3" x14ac:dyDescent="0.2">
      <c r="A171" t="s">
        <v>24</v>
      </c>
      <c r="B171">
        <v>8</v>
      </c>
      <c r="C171">
        <v>9.1999999999999993</v>
      </c>
    </row>
    <row r="172" spans="1:3" x14ac:dyDescent="0.2">
      <c r="A172" t="s">
        <v>25</v>
      </c>
      <c r="B172">
        <v>1</v>
      </c>
      <c r="C172">
        <v>52.3</v>
      </c>
    </row>
    <row r="173" spans="1:3" x14ac:dyDescent="0.2">
      <c r="A173" t="s">
        <v>25</v>
      </c>
      <c r="B173">
        <v>2</v>
      </c>
      <c r="C173">
        <v>52.3</v>
      </c>
    </row>
    <row r="174" spans="1:3" x14ac:dyDescent="0.2">
      <c r="A174" t="s">
        <v>25</v>
      </c>
      <c r="B174">
        <v>3</v>
      </c>
      <c r="C174">
        <v>44.5</v>
      </c>
    </row>
    <row r="175" spans="1:3" x14ac:dyDescent="0.2">
      <c r="A175" t="s">
        <v>25</v>
      </c>
      <c r="B175">
        <v>4</v>
      </c>
      <c r="C175">
        <v>44.5</v>
      </c>
    </row>
    <row r="176" spans="1:3" x14ac:dyDescent="0.2">
      <c r="A176" t="s">
        <v>25</v>
      </c>
      <c r="B176">
        <v>5</v>
      </c>
      <c r="C176">
        <v>41.8</v>
      </c>
    </row>
    <row r="177" spans="1:3" x14ac:dyDescent="0.2">
      <c r="A177" t="s">
        <v>25</v>
      </c>
      <c r="B177">
        <v>6</v>
      </c>
      <c r="C177">
        <v>41.8</v>
      </c>
    </row>
    <row r="178" spans="1:3" x14ac:dyDescent="0.2">
      <c r="A178" t="s">
        <v>25</v>
      </c>
      <c r="B178">
        <v>7</v>
      </c>
      <c r="C178">
        <v>39.200000000000003</v>
      </c>
    </row>
    <row r="179" spans="1:3" x14ac:dyDescent="0.2">
      <c r="A179" t="s">
        <v>25</v>
      </c>
      <c r="B179">
        <v>8</v>
      </c>
      <c r="C179">
        <v>39.200000000000003</v>
      </c>
    </row>
    <row r="180" spans="1:3" x14ac:dyDescent="0.2">
      <c r="A180" t="s">
        <v>89</v>
      </c>
      <c r="B180">
        <v>1</v>
      </c>
      <c r="C180" s="18">
        <v>64.166666666666657</v>
      </c>
    </row>
    <row r="181" spans="1:3" x14ac:dyDescent="0.2">
      <c r="A181" t="s">
        <v>89</v>
      </c>
      <c r="B181">
        <v>2</v>
      </c>
      <c r="C181" s="18">
        <v>52.5</v>
      </c>
    </row>
    <row r="182" spans="1:3" x14ac:dyDescent="0.2">
      <c r="A182" t="s">
        <v>89</v>
      </c>
      <c r="B182">
        <v>3</v>
      </c>
      <c r="C182" s="18">
        <v>38.44</v>
      </c>
    </row>
    <row r="183" spans="1:3" x14ac:dyDescent="0.2">
      <c r="A183" t="s">
        <v>89</v>
      </c>
      <c r="B183">
        <v>4</v>
      </c>
      <c r="C183" s="18">
        <v>37.888888888888893</v>
      </c>
    </row>
    <row r="184" spans="1:3" x14ac:dyDescent="0.2">
      <c r="A184" t="s">
        <v>89</v>
      </c>
      <c r="B184">
        <v>5</v>
      </c>
      <c r="C184" s="18">
        <v>34.799999999999997</v>
      </c>
    </row>
    <row r="185" spans="1:3" x14ac:dyDescent="0.2">
      <c r="A185" t="s">
        <v>89</v>
      </c>
      <c r="B185">
        <v>6</v>
      </c>
      <c r="C185" s="18">
        <v>34.34210526315789</v>
      </c>
    </row>
    <row r="186" spans="1:3" x14ac:dyDescent="0.2">
      <c r="A186" t="s">
        <v>89</v>
      </c>
      <c r="B186">
        <v>7</v>
      </c>
      <c r="C186" s="18">
        <v>33.157894736842103</v>
      </c>
    </row>
    <row r="187" spans="1:3" x14ac:dyDescent="0.2">
      <c r="A187" t="s">
        <v>89</v>
      </c>
      <c r="B187">
        <v>8</v>
      </c>
      <c r="C187" s="18">
        <v>33.157894736842103</v>
      </c>
    </row>
  </sheetData>
  <autoFilter ref="A1:C179" xr:uid="{1E2D1989-654C-4808-9318-DD8832D8C16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0E55-8A35-4D2F-9D77-EA22D2B08DB5}">
  <dimension ref="A1:B31"/>
  <sheetViews>
    <sheetView workbookViewId="0"/>
  </sheetViews>
  <sheetFormatPr baseColWidth="10" defaultColWidth="10.83203125" defaultRowHeight="15" x14ac:dyDescent="0.2"/>
  <cols>
    <col min="1" max="1" width="24" customWidth="1"/>
    <col min="2" max="2" width="36.1640625" bestFit="1" customWidth="1"/>
  </cols>
  <sheetData>
    <row r="1" spans="1:2" x14ac:dyDescent="0.2">
      <c r="A1" t="s">
        <v>0</v>
      </c>
    </row>
    <row r="2" spans="1:2" x14ac:dyDescent="0.2">
      <c r="A2" t="s">
        <v>28</v>
      </c>
    </row>
    <row r="3" spans="1:2" x14ac:dyDescent="0.2">
      <c r="A3" t="s">
        <v>2</v>
      </c>
      <c r="B3" t="s">
        <v>29</v>
      </c>
    </row>
    <row r="4" spans="1:2" x14ac:dyDescent="0.2">
      <c r="A4" t="s">
        <v>30</v>
      </c>
      <c r="B4">
        <v>3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3.28</v>
      </c>
    </row>
    <row r="7" spans="1:2" x14ac:dyDescent="0.2">
      <c r="A7" t="s">
        <v>7</v>
      </c>
      <c r="B7">
        <v>1.18</v>
      </c>
    </row>
    <row r="8" spans="1:2" x14ac:dyDescent="0.2">
      <c r="A8" t="s">
        <v>31</v>
      </c>
      <c r="B8">
        <v>2.4</v>
      </c>
    </row>
    <row r="9" spans="1:2" x14ac:dyDescent="0.2">
      <c r="A9" t="s">
        <v>8</v>
      </c>
      <c r="B9">
        <v>2.4</v>
      </c>
    </row>
    <row r="10" spans="1:2" x14ac:dyDescent="0.2">
      <c r="A10" t="s">
        <v>9</v>
      </c>
      <c r="B10">
        <v>2.46</v>
      </c>
    </row>
    <row r="11" spans="1:2" x14ac:dyDescent="0.2">
      <c r="A11" t="s">
        <v>10</v>
      </c>
      <c r="B11">
        <v>7.3</v>
      </c>
    </row>
    <row r="12" spans="1:2" x14ac:dyDescent="0.2">
      <c r="A12" t="s">
        <v>32</v>
      </c>
      <c r="B12">
        <v>2.31</v>
      </c>
    </row>
    <row r="13" spans="1:2" x14ac:dyDescent="0.2">
      <c r="A13" t="s">
        <v>11</v>
      </c>
      <c r="B13">
        <v>2.31</v>
      </c>
    </row>
    <row r="14" spans="1:2" x14ac:dyDescent="0.2">
      <c r="A14" t="s">
        <v>12</v>
      </c>
      <c r="B14">
        <v>2.31</v>
      </c>
    </row>
    <row r="15" spans="1:2" x14ac:dyDescent="0.2">
      <c r="A15" t="s">
        <v>13</v>
      </c>
      <c r="B15">
        <v>1.85</v>
      </c>
    </row>
    <row r="16" spans="1:2" x14ac:dyDescent="0.2">
      <c r="A16" t="s">
        <v>14</v>
      </c>
      <c r="B16">
        <v>2.9</v>
      </c>
    </row>
    <row r="17" spans="1:2" x14ac:dyDescent="0.2">
      <c r="A17" t="s">
        <v>33</v>
      </c>
      <c r="B17">
        <v>2.76</v>
      </c>
    </row>
    <row r="18" spans="1:2" x14ac:dyDescent="0.2">
      <c r="A18" t="s">
        <v>34</v>
      </c>
      <c r="B18">
        <v>3.56</v>
      </c>
    </row>
    <row r="19" spans="1:2" x14ac:dyDescent="0.2">
      <c r="A19" t="s">
        <v>15</v>
      </c>
      <c r="B19">
        <v>0.48</v>
      </c>
    </row>
    <row r="20" spans="1:2" x14ac:dyDescent="0.2">
      <c r="A20" t="s">
        <v>16</v>
      </c>
      <c r="B20">
        <v>3.28</v>
      </c>
    </row>
    <row r="21" spans="1:2" x14ac:dyDescent="0.2">
      <c r="A21" t="s">
        <v>17</v>
      </c>
      <c r="B21">
        <v>7.5</v>
      </c>
    </row>
    <row r="22" spans="1:2" x14ac:dyDescent="0.2">
      <c r="A22" t="s">
        <v>18</v>
      </c>
      <c r="B22">
        <v>0.1</v>
      </c>
    </row>
    <row r="23" spans="1:2" x14ac:dyDescent="0.2">
      <c r="A23" t="s">
        <v>19</v>
      </c>
      <c r="B23">
        <v>0.32</v>
      </c>
    </row>
    <row r="24" spans="1:2" x14ac:dyDescent="0.2">
      <c r="A24" t="s">
        <v>20</v>
      </c>
      <c r="B24">
        <v>0.32</v>
      </c>
    </row>
    <row r="25" spans="1:2" x14ac:dyDescent="0.2">
      <c r="A25" t="s">
        <v>21</v>
      </c>
      <c r="B25">
        <v>0</v>
      </c>
    </row>
    <row r="26" spans="1:2" x14ac:dyDescent="0.2">
      <c r="A26" t="s">
        <v>22</v>
      </c>
      <c r="B26">
        <v>3.56</v>
      </c>
    </row>
    <row r="27" spans="1:2" x14ac:dyDescent="0.2">
      <c r="A27" t="s">
        <v>23</v>
      </c>
      <c r="B27">
        <v>0.18</v>
      </c>
    </row>
    <row r="28" spans="1:2" x14ac:dyDescent="0.2">
      <c r="A28" t="s">
        <v>88</v>
      </c>
      <c r="B28">
        <v>0.39</v>
      </c>
    </row>
    <row r="29" spans="1:2" x14ac:dyDescent="0.2">
      <c r="A29" t="s">
        <v>89</v>
      </c>
      <c r="B29">
        <v>0.39</v>
      </c>
    </row>
    <row r="30" spans="1:2" x14ac:dyDescent="0.2">
      <c r="A30" t="s">
        <v>24</v>
      </c>
      <c r="B30">
        <v>0</v>
      </c>
    </row>
    <row r="31" spans="1:2" x14ac:dyDescent="0.2">
      <c r="A31" t="s">
        <v>25</v>
      </c>
      <c r="B31">
        <v>0.82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9535-8217-4FDD-9775-08DFF4D5C579}">
  <dimension ref="A1:C227"/>
  <sheetViews>
    <sheetView topLeftCell="A215" zoomScale="133" zoomScaleNormal="133" workbookViewId="0">
      <selection activeCell="D7" sqref="D7"/>
    </sheetView>
  </sheetViews>
  <sheetFormatPr baseColWidth="10" defaultColWidth="10.5" defaultRowHeight="15" x14ac:dyDescent="0.2"/>
  <cols>
    <col min="1" max="1" width="25.5" customWidth="1"/>
    <col min="2" max="2" width="6.83203125" bestFit="1" customWidth="1"/>
    <col min="3" max="3" width="30.5" bestFit="1" customWidth="1"/>
  </cols>
  <sheetData>
    <row r="1" spans="1:3" x14ac:dyDescent="0.2">
      <c r="A1" t="s">
        <v>35</v>
      </c>
    </row>
    <row r="2" spans="1:3" x14ac:dyDescent="0.2">
      <c r="A2" t="s">
        <v>36</v>
      </c>
    </row>
    <row r="3" spans="1:3" x14ac:dyDescent="0.2">
      <c r="A3" t="s">
        <v>2</v>
      </c>
      <c r="B3" t="s">
        <v>3</v>
      </c>
      <c r="C3" t="s">
        <v>37</v>
      </c>
    </row>
    <row r="4" spans="1:3" x14ac:dyDescent="0.2">
      <c r="A4" t="s">
        <v>30</v>
      </c>
      <c r="B4">
        <v>1</v>
      </c>
      <c r="C4">
        <v>1.4</v>
      </c>
    </row>
    <row r="5" spans="1:3" x14ac:dyDescent="0.2">
      <c r="A5" t="s">
        <v>5</v>
      </c>
      <c r="B5">
        <v>1</v>
      </c>
      <c r="C5">
        <v>1.4</v>
      </c>
    </row>
    <row r="6" spans="1:3" x14ac:dyDescent="0.2">
      <c r="A6" t="s">
        <v>6</v>
      </c>
      <c r="B6">
        <v>1</v>
      </c>
      <c r="C6">
        <v>1.4</v>
      </c>
    </row>
    <row r="7" spans="1:3" x14ac:dyDescent="0.2">
      <c r="A7" t="s">
        <v>7</v>
      </c>
      <c r="B7">
        <v>1</v>
      </c>
      <c r="C7">
        <v>1.4</v>
      </c>
    </row>
    <row r="8" spans="1:3" x14ac:dyDescent="0.2">
      <c r="A8" t="s">
        <v>31</v>
      </c>
      <c r="B8">
        <v>1</v>
      </c>
      <c r="C8">
        <v>2.3852185361603966</v>
      </c>
    </row>
    <row r="9" spans="1:3" x14ac:dyDescent="0.2">
      <c r="A9" t="s">
        <v>8</v>
      </c>
      <c r="B9">
        <v>1</v>
      </c>
      <c r="C9">
        <v>2.3852185361603966</v>
      </c>
    </row>
    <row r="10" spans="1:3" x14ac:dyDescent="0.2">
      <c r="A10" t="s">
        <v>9</v>
      </c>
      <c r="B10">
        <v>1</v>
      </c>
      <c r="C10">
        <v>2.3852185361603966</v>
      </c>
    </row>
    <row r="11" spans="1:3" x14ac:dyDescent="0.2">
      <c r="A11" t="s">
        <v>10</v>
      </c>
      <c r="B11">
        <v>1</v>
      </c>
      <c r="C11">
        <v>2.3852185361603966</v>
      </c>
    </row>
    <row r="12" spans="1:3" x14ac:dyDescent="0.2">
      <c r="A12" t="s">
        <v>32</v>
      </c>
      <c r="B12">
        <v>1</v>
      </c>
      <c r="C12">
        <v>8.0455904252016524</v>
      </c>
    </row>
    <row r="13" spans="1:3" x14ac:dyDescent="0.2">
      <c r="A13" t="s">
        <v>11</v>
      </c>
      <c r="B13">
        <v>1</v>
      </c>
      <c r="C13">
        <v>8.0455904252016524</v>
      </c>
    </row>
    <row r="14" spans="1:3" x14ac:dyDescent="0.2">
      <c r="A14" t="s">
        <v>12</v>
      </c>
      <c r="B14">
        <v>1</v>
      </c>
      <c r="C14">
        <v>8.0455904252016524</v>
      </c>
    </row>
    <row r="15" spans="1:3" x14ac:dyDescent="0.2">
      <c r="A15" t="s">
        <v>13</v>
      </c>
      <c r="B15">
        <v>1</v>
      </c>
      <c r="C15">
        <v>8.0455904252016524</v>
      </c>
    </row>
    <row r="16" spans="1:3" x14ac:dyDescent="0.2">
      <c r="A16" t="s">
        <v>14</v>
      </c>
      <c r="B16">
        <v>1</v>
      </c>
      <c r="C16">
        <v>8.0455904252016524</v>
      </c>
    </row>
    <row r="17" spans="1:3" x14ac:dyDescent="0.2">
      <c r="A17" t="s">
        <v>33</v>
      </c>
      <c r="B17">
        <v>1</v>
      </c>
      <c r="C17">
        <v>12.5</v>
      </c>
    </row>
    <row r="18" spans="1:3" x14ac:dyDescent="0.2">
      <c r="A18" t="s">
        <v>34</v>
      </c>
      <c r="B18">
        <v>1</v>
      </c>
      <c r="C18">
        <v>8.2280000000000015</v>
      </c>
    </row>
    <row r="19" spans="1:3" x14ac:dyDescent="0.2">
      <c r="A19" t="s">
        <v>15</v>
      </c>
      <c r="B19">
        <v>1</v>
      </c>
      <c r="C19">
        <v>2.9694966825443574</v>
      </c>
    </row>
    <row r="20" spans="1:3" x14ac:dyDescent="0.2">
      <c r="A20" t="s">
        <v>16</v>
      </c>
      <c r="B20">
        <v>1</v>
      </c>
      <c r="C20">
        <v>2.9694966825443574</v>
      </c>
    </row>
    <row r="21" spans="1:3" x14ac:dyDescent="0.2">
      <c r="A21" t="s">
        <v>17</v>
      </c>
      <c r="B21">
        <v>1</v>
      </c>
      <c r="C21">
        <v>1.0404</v>
      </c>
    </row>
    <row r="22" spans="1:3" x14ac:dyDescent="0.2">
      <c r="A22" t="s">
        <v>18</v>
      </c>
      <c r="B22">
        <v>1</v>
      </c>
      <c r="C22">
        <v>0</v>
      </c>
    </row>
    <row r="23" spans="1:3" x14ac:dyDescent="0.2">
      <c r="A23" t="s">
        <v>19</v>
      </c>
      <c r="B23">
        <v>1</v>
      </c>
      <c r="C23">
        <v>0</v>
      </c>
    </row>
    <row r="24" spans="1:3" x14ac:dyDescent="0.2">
      <c r="A24" t="s">
        <v>20</v>
      </c>
      <c r="B24">
        <v>1</v>
      </c>
      <c r="C24">
        <v>0</v>
      </c>
    </row>
    <row r="25" spans="1:3" x14ac:dyDescent="0.2">
      <c r="A25" t="s">
        <v>21</v>
      </c>
      <c r="B25">
        <v>1</v>
      </c>
      <c r="C25">
        <v>0</v>
      </c>
    </row>
    <row r="26" spans="1:3" x14ac:dyDescent="0.2">
      <c r="A26" t="s">
        <v>22</v>
      </c>
      <c r="B26">
        <v>1</v>
      </c>
      <c r="C26">
        <v>8.2280000000000015</v>
      </c>
    </row>
    <row r="27" spans="1:3" x14ac:dyDescent="0.2">
      <c r="A27" t="s">
        <v>23</v>
      </c>
      <c r="B27">
        <v>1</v>
      </c>
      <c r="C27">
        <v>0</v>
      </c>
    </row>
    <row r="28" spans="1:3" x14ac:dyDescent="0.2">
      <c r="A28" t="s">
        <v>88</v>
      </c>
      <c r="B28">
        <v>1</v>
      </c>
      <c r="C28">
        <v>0</v>
      </c>
    </row>
    <row r="29" spans="1:3" x14ac:dyDescent="0.2">
      <c r="A29" t="s">
        <v>24</v>
      </c>
      <c r="B29">
        <v>1</v>
      </c>
      <c r="C29">
        <v>0</v>
      </c>
    </row>
    <row r="30" spans="1:3" x14ac:dyDescent="0.2">
      <c r="A30" t="s">
        <v>30</v>
      </c>
      <c r="B30">
        <v>2</v>
      </c>
      <c r="C30">
        <v>1.4</v>
      </c>
    </row>
    <row r="31" spans="1:3" x14ac:dyDescent="0.2">
      <c r="A31" t="s">
        <v>5</v>
      </c>
      <c r="B31">
        <v>2</v>
      </c>
      <c r="C31">
        <v>1.4</v>
      </c>
    </row>
    <row r="32" spans="1:3" x14ac:dyDescent="0.2">
      <c r="A32" t="s">
        <v>6</v>
      </c>
      <c r="B32">
        <v>2</v>
      </c>
      <c r="C32">
        <v>1.4</v>
      </c>
    </row>
    <row r="33" spans="1:3" x14ac:dyDescent="0.2">
      <c r="A33" t="s">
        <v>7</v>
      </c>
      <c r="B33">
        <v>2</v>
      </c>
      <c r="C33">
        <v>1.4</v>
      </c>
    </row>
    <row r="34" spans="1:3" x14ac:dyDescent="0.2">
      <c r="A34" t="s">
        <v>31</v>
      </c>
      <c r="B34">
        <v>2</v>
      </c>
      <c r="C34">
        <v>2.8501025506971391</v>
      </c>
    </row>
    <row r="35" spans="1:3" x14ac:dyDescent="0.2">
      <c r="A35" t="s">
        <v>8</v>
      </c>
      <c r="B35">
        <v>2</v>
      </c>
      <c r="C35">
        <v>2.8501025506971391</v>
      </c>
    </row>
    <row r="36" spans="1:3" x14ac:dyDescent="0.2">
      <c r="A36" t="s">
        <v>9</v>
      </c>
      <c r="B36">
        <v>2</v>
      </c>
      <c r="C36">
        <v>2.8501025506971391</v>
      </c>
    </row>
    <row r="37" spans="1:3" x14ac:dyDescent="0.2">
      <c r="A37" t="s">
        <v>10</v>
      </c>
      <c r="B37">
        <v>2</v>
      </c>
      <c r="C37">
        <v>2.8501025506971391</v>
      </c>
    </row>
    <row r="38" spans="1:3" x14ac:dyDescent="0.2">
      <c r="A38" t="s">
        <v>32</v>
      </c>
      <c r="B38">
        <v>2</v>
      </c>
      <c r="C38">
        <v>8.7045482099218034</v>
      </c>
    </row>
    <row r="39" spans="1:3" x14ac:dyDescent="0.2">
      <c r="A39" t="s">
        <v>11</v>
      </c>
      <c r="B39">
        <v>2</v>
      </c>
      <c r="C39">
        <v>8.7045482099218034</v>
      </c>
    </row>
    <row r="40" spans="1:3" x14ac:dyDescent="0.2">
      <c r="A40" t="s">
        <v>12</v>
      </c>
      <c r="B40">
        <v>2</v>
      </c>
      <c r="C40">
        <v>8.7045482099218034</v>
      </c>
    </row>
    <row r="41" spans="1:3" x14ac:dyDescent="0.2">
      <c r="A41" t="s">
        <v>13</v>
      </c>
      <c r="B41">
        <v>2</v>
      </c>
      <c r="C41">
        <v>8.7045482099218034</v>
      </c>
    </row>
    <row r="42" spans="1:3" x14ac:dyDescent="0.2">
      <c r="A42" t="s">
        <v>14</v>
      </c>
      <c r="B42">
        <v>2</v>
      </c>
      <c r="C42">
        <v>8.7045482099218034</v>
      </c>
    </row>
    <row r="43" spans="1:3" x14ac:dyDescent="0.2">
      <c r="A43" t="s">
        <v>33</v>
      </c>
      <c r="B43">
        <v>2</v>
      </c>
      <c r="C43">
        <v>14.2</v>
      </c>
    </row>
    <row r="44" spans="1:3" x14ac:dyDescent="0.2">
      <c r="A44" t="s">
        <v>34</v>
      </c>
      <c r="B44">
        <v>2</v>
      </c>
      <c r="C44">
        <v>9.0508000000000024</v>
      </c>
    </row>
    <row r="45" spans="1:3" x14ac:dyDescent="0.2">
      <c r="A45" t="s">
        <v>15</v>
      </c>
      <c r="B45">
        <v>2</v>
      </c>
      <c r="C45">
        <v>3.4701722956274255</v>
      </c>
    </row>
    <row r="46" spans="1:3" x14ac:dyDescent="0.2">
      <c r="A46" t="s">
        <v>16</v>
      </c>
      <c r="B46">
        <v>2</v>
      </c>
      <c r="C46">
        <v>3.4701722956274255</v>
      </c>
    </row>
    <row r="47" spans="1:3" x14ac:dyDescent="0.2">
      <c r="A47" t="s">
        <v>17</v>
      </c>
      <c r="B47">
        <v>2</v>
      </c>
      <c r="C47">
        <v>1.0612079999999999</v>
      </c>
    </row>
    <row r="48" spans="1:3" x14ac:dyDescent="0.2">
      <c r="A48" t="s">
        <v>18</v>
      </c>
      <c r="B48">
        <v>2</v>
      </c>
      <c r="C48">
        <v>0</v>
      </c>
    </row>
    <row r="49" spans="1:3" x14ac:dyDescent="0.2">
      <c r="A49" t="s">
        <v>19</v>
      </c>
      <c r="B49">
        <v>2</v>
      </c>
      <c r="C49">
        <v>0</v>
      </c>
    </row>
    <row r="50" spans="1:3" x14ac:dyDescent="0.2">
      <c r="A50" t="s">
        <v>20</v>
      </c>
      <c r="B50">
        <v>2</v>
      </c>
      <c r="C50">
        <v>0</v>
      </c>
    </row>
    <row r="51" spans="1:3" x14ac:dyDescent="0.2">
      <c r="A51" t="s">
        <v>21</v>
      </c>
      <c r="B51">
        <v>2</v>
      </c>
      <c r="C51">
        <v>0</v>
      </c>
    </row>
    <row r="52" spans="1:3" x14ac:dyDescent="0.2">
      <c r="A52" t="s">
        <v>22</v>
      </c>
      <c r="B52">
        <v>2</v>
      </c>
      <c r="C52">
        <v>9.0508000000000024</v>
      </c>
    </row>
    <row r="53" spans="1:3" x14ac:dyDescent="0.2">
      <c r="A53" t="s">
        <v>23</v>
      </c>
      <c r="B53">
        <v>2</v>
      </c>
      <c r="C53">
        <v>0</v>
      </c>
    </row>
    <row r="54" spans="1:3" x14ac:dyDescent="0.2">
      <c r="A54" t="s">
        <v>88</v>
      </c>
      <c r="B54">
        <v>2</v>
      </c>
      <c r="C54">
        <v>0</v>
      </c>
    </row>
    <row r="55" spans="1:3" x14ac:dyDescent="0.2">
      <c r="A55" t="s">
        <v>24</v>
      </c>
      <c r="B55">
        <v>2</v>
      </c>
      <c r="C55">
        <v>0</v>
      </c>
    </row>
    <row r="56" spans="1:3" x14ac:dyDescent="0.2">
      <c r="A56" t="s">
        <v>30</v>
      </c>
      <c r="B56">
        <v>3</v>
      </c>
      <c r="C56">
        <v>1.5</v>
      </c>
    </row>
    <row r="57" spans="1:3" x14ac:dyDescent="0.2">
      <c r="A57" t="s">
        <v>5</v>
      </c>
      <c r="B57">
        <v>3</v>
      </c>
      <c r="C57">
        <v>1.5</v>
      </c>
    </row>
    <row r="58" spans="1:3" x14ac:dyDescent="0.2">
      <c r="A58" t="s">
        <v>6</v>
      </c>
      <c r="B58">
        <v>3</v>
      </c>
      <c r="C58">
        <v>1.5</v>
      </c>
    </row>
    <row r="59" spans="1:3" x14ac:dyDescent="0.2">
      <c r="A59" t="s">
        <v>7</v>
      </c>
      <c r="B59">
        <v>3</v>
      </c>
      <c r="C59">
        <v>1.5</v>
      </c>
    </row>
    <row r="60" spans="1:3" x14ac:dyDescent="0.2">
      <c r="A60" t="s">
        <v>31</v>
      </c>
      <c r="B60">
        <v>3</v>
      </c>
      <c r="C60">
        <v>3.420491466266518</v>
      </c>
    </row>
    <row r="61" spans="1:3" x14ac:dyDescent="0.2">
      <c r="A61" t="s">
        <v>8</v>
      </c>
      <c r="B61">
        <v>3</v>
      </c>
      <c r="C61">
        <v>3.420491466266518</v>
      </c>
    </row>
    <row r="62" spans="1:3" x14ac:dyDescent="0.2">
      <c r="A62" t="s">
        <v>9</v>
      </c>
      <c r="B62">
        <v>3</v>
      </c>
      <c r="C62">
        <v>3.420491466266518</v>
      </c>
    </row>
    <row r="63" spans="1:3" x14ac:dyDescent="0.2">
      <c r="A63" t="s">
        <v>10</v>
      </c>
      <c r="B63">
        <v>3</v>
      </c>
      <c r="C63">
        <v>3.420491466266518</v>
      </c>
    </row>
    <row r="64" spans="1:3" x14ac:dyDescent="0.2">
      <c r="A64" t="s">
        <v>32</v>
      </c>
      <c r="B64">
        <v>3</v>
      </c>
      <c r="C64">
        <v>9.4661940765841024</v>
      </c>
    </row>
    <row r="65" spans="1:3" x14ac:dyDescent="0.2">
      <c r="A65" t="s">
        <v>11</v>
      </c>
      <c r="B65">
        <v>3</v>
      </c>
      <c r="C65">
        <v>9.4661940765841024</v>
      </c>
    </row>
    <row r="66" spans="1:3" x14ac:dyDescent="0.2">
      <c r="A66" t="s">
        <v>12</v>
      </c>
      <c r="B66">
        <v>3</v>
      </c>
      <c r="C66">
        <v>9.4661940765841024</v>
      </c>
    </row>
    <row r="67" spans="1:3" x14ac:dyDescent="0.2">
      <c r="A67" t="s">
        <v>13</v>
      </c>
      <c r="B67">
        <v>3</v>
      </c>
      <c r="C67">
        <v>9.4661940765841024</v>
      </c>
    </row>
    <row r="68" spans="1:3" x14ac:dyDescent="0.2">
      <c r="A68" t="s">
        <v>14</v>
      </c>
      <c r="B68">
        <v>3</v>
      </c>
      <c r="C68">
        <v>9.4661940765841024</v>
      </c>
    </row>
    <row r="69" spans="1:3" x14ac:dyDescent="0.2">
      <c r="A69" t="s">
        <v>33</v>
      </c>
      <c r="B69">
        <v>3</v>
      </c>
      <c r="C69">
        <v>15.6</v>
      </c>
    </row>
    <row r="70" spans="1:3" x14ac:dyDescent="0.2">
      <c r="A70" t="s">
        <v>34</v>
      </c>
      <c r="B70">
        <v>3</v>
      </c>
      <c r="C70">
        <v>9.9558800000000041</v>
      </c>
    </row>
    <row r="71" spans="1:3" x14ac:dyDescent="0.2">
      <c r="A71" t="s">
        <v>15</v>
      </c>
      <c r="B71">
        <v>3</v>
      </c>
      <c r="C71">
        <v>4.0740303196398671</v>
      </c>
    </row>
    <row r="72" spans="1:3" x14ac:dyDescent="0.2">
      <c r="A72" t="s">
        <v>16</v>
      </c>
      <c r="B72">
        <v>3</v>
      </c>
      <c r="C72">
        <v>4.0740303196398671</v>
      </c>
    </row>
    <row r="73" spans="1:3" x14ac:dyDescent="0.2">
      <c r="A73" t="s">
        <v>17</v>
      </c>
      <c r="B73">
        <v>3</v>
      </c>
      <c r="C73">
        <v>1.08243216</v>
      </c>
    </row>
    <row r="74" spans="1:3" x14ac:dyDescent="0.2">
      <c r="A74" t="s">
        <v>18</v>
      </c>
      <c r="B74">
        <v>3</v>
      </c>
      <c r="C74">
        <v>0</v>
      </c>
    </row>
    <row r="75" spans="1:3" x14ac:dyDescent="0.2">
      <c r="A75" t="s">
        <v>19</v>
      </c>
      <c r="B75">
        <v>3</v>
      </c>
      <c r="C75">
        <v>0</v>
      </c>
    </row>
    <row r="76" spans="1:3" x14ac:dyDescent="0.2">
      <c r="A76" t="s">
        <v>20</v>
      </c>
      <c r="B76">
        <v>3</v>
      </c>
      <c r="C76">
        <v>0</v>
      </c>
    </row>
    <row r="77" spans="1:3" x14ac:dyDescent="0.2">
      <c r="A77" t="s">
        <v>21</v>
      </c>
      <c r="B77">
        <v>3</v>
      </c>
      <c r="C77">
        <v>0</v>
      </c>
    </row>
    <row r="78" spans="1:3" x14ac:dyDescent="0.2">
      <c r="A78" t="s">
        <v>22</v>
      </c>
      <c r="B78">
        <v>3</v>
      </c>
      <c r="C78">
        <v>9.9558800000000041</v>
      </c>
    </row>
    <row r="79" spans="1:3" x14ac:dyDescent="0.2">
      <c r="A79" t="s">
        <v>23</v>
      </c>
      <c r="B79">
        <v>3</v>
      </c>
      <c r="C79">
        <v>0</v>
      </c>
    </row>
    <row r="80" spans="1:3" x14ac:dyDescent="0.2">
      <c r="A80" t="s">
        <v>88</v>
      </c>
      <c r="B80">
        <v>3</v>
      </c>
      <c r="C80">
        <v>0</v>
      </c>
    </row>
    <row r="81" spans="1:3" x14ac:dyDescent="0.2">
      <c r="A81" t="s">
        <v>24</v>
      </c>
      <c r="B81">
        <v>3</v>
      </c>
      <c r="C81">
        <v>0</v>
      </c>
    </row>
    <row r="82" spans="1:3" x14ac:dyDescent="0.2">
      <c r="A82" t="s">
        <v>30</v>
      </c>
      <c r="B82">
        <v>4</v>
      </c>
      <c r="C82">
        <v>1.5</v>
      </c>
    </row>
    <row r="83" spans="1:3" x14ac:dyDescent="0.2">
      <c r="A83" t="s">
        <v>5</v>
      </c>
      <c r="B83">
        <v>4</v>
      </c>
      <c r="C83">
        <v>1.5</v>
      </c>
    </row>
    <row r="84" spans="1:3" x14ac:dyDescent="0.2">
      <c r="A84" t="s">
        <v>6</v>
      </c>
      <c r="B84">
        <v>4</v>
      </c>
      <c r="C84">
        <v>1.5</v>
      </c>
    </row>
    <row r="85" spans="1:3" x14ac:dyDescent="0.2">
      <c r="A85" t="s">
        <v>7</v>
      </c>
      <c r="B85">
        <v>4</v>
      </c>
      <c r="C85">
        <v>1.5</v>
      </c>
    </row>
    <row r="86" spans="1:3" x14ac:dyDescent="0.2">
      <c r="A86" t="s">
        <v>31</v>
      </c>
      <c r="B86">
        <v>4</v>
      </c>
      <c r="C86">
        <v>3.6219155298293901</v>
      </c>
    </row>
    <row r="87" spans="1:3" x14ac:dyDescent="0.2">
      <c r="A87" t="s">
        <v>8</v>
      </c>
      <c r="B87">
        <v>4</v>
      </c>
      <c r="C87">
        <v>3.6219155298293901</v>
      </c>
    </row>
    <row r="88" spans="1:3" x14ac:dyDescent="0.2">
      <c r="A88" t="s">
        <v>9</v>
      </c>
      <c r="B88">
        <v>4</v>
      </c>
      <c r="C88">
        <v>3.6219155298293901</v>
      </c>
    </row>
    <row r="89" spans="1:3" x14ac:dyDescent="0.2">
      <c r="A89" t="s">
        <v>10</v>
      </c>
      <c r="B89">
        <v>4</v>
      </c>
      <c r="C89">
        <v>3.6219155298293901</v>
      </c>
    </row>
    <row r="90" spans="1:3" x14ac:dyDescent="0.2">
      <c r="A90" t="s">
        <v>32</v>
      </c>
      <c r="B90">
        <v>4</v>
      </c>
      <c r="C90">
        <v>10.110006791865812</v>
      </c>
    </row>
    <row r="91" spans="1:3" x14ac:dyDescent="0.2">
      <c r="A91" t="s">
        <v>11</v>
      </c>
      <c r="B91">
        <v>4</v>
      </c>
      <c r="C91">
        <v>10.110006791865812</v>
      </c>
    </row>
    <row r="92" spans="1:3" x14ac:dyDescent="0.2">
      <c r="A92" t="s">
        <v>12</v>
      </c>
      <c r="B92">
        <v>4</v>
      </c>
      <c r="C92">
        <v>10.110006791865812</v>
      </c>
    </row>
    <row r="93" spans="1:3" x14ac:dyDescent="0.2">
      <c r="A93" t="s">
        <v>13</v>
      </c>
      <c r="B93">
        <v>4</v>
      </c>
      <c r="C93">
        <v>10.110006791865812</v>
      </c>
    </row>
    <row r="94" spans="1:3" x14ac:dyDescent="0.2">
      <c r="A94" t="s">
        <v>14</v>
      </c>
      <c r="B94">
        <v>4</v>
      </c>
      <c r="C94">
        <v>10.110006791865812</v>
      </c>
    </row>
    <row r="95" spans="1:3" x14ac:dyDescent="0.2">
      <c r="A95" t="s">
        <v>33</v>
      </c>
      <c r="B95">
        <v>4</v>
      </c>
      <c r="C95">
        <v>16.3</v>
      </c>
    </row>
    <row r="96" spans="1:3" x14ac:dyDescent="0.2">
      <c r="A96" t="s">
        <v>34</v>
      </c>
      <c r="B96">
        <v>4</v>
      </c>
      <c r="C96">
        <v>10.951468000000006</v>
      </c>
    </row>
    <row r="97" spans="1:3" x14ac:dyDescent="0.2">
      <c r="A97" t="s">
        <v>15</v>
      </c>
      <c r="B97">
        <v>4</v>
      </c>
      <c r="C97">
        <v>4.3548707768464521</v>
      </c>
    </row>
    <row r="98" spans="1:3" x14ac:dyDescent="0.2">
      <c r="A98" t="s">
        <v>16</v>
      </c>
      <c r="B98">
        <v>4</v>
      </c>
      <c r="C98">
        <v>4.3548707768464521</v>
      </c>
    </row>
    <row r="99" spans="1:3" x14ac:dyDescent="0.2">
      <c r="A99" t="s">
        <v>17</v>
      </c>
      <c r="B99">
        <v>4</v>
      </c>
      <c r="C99">
        <v>1.1040808032</v>
      </c>
    </row>
    <row r="100" spans="1:3" x14ac:dyDescent="0.2">
      <c r="A100" t="s">
        <v>18</v>
      </c>
      <c r="B100">
        <v>4</v>
      </c>
      <c r="C100">
        <v>0</v>
      </c>
    </row>
    <row r="101" spans="1:3" x14ac:dyDescent="0.2">
      <c r="A101" t="s">
        <v>19</v>
      </c>
      <c r="B101">
        <v>4</v>
      </c>
      <c r="C101">
        <v>0</v>
      </c>
    </row>
    <row r="102" spans="1:3" x14ac:dyDescent="0.2">
      <c r="A102" t="s">
        <v>20</v>
      </c>
      <c r="B102">
        <v>4</v>
      </c>
      <c r="C102">
        <v>0</v>
      </c>
    </row>
    <row r="103" spans="1:3" x14ac:dyDescent="0.2">
      <c r="A103" t="s">
        <v>21</v>
      </c>
      <c r="B103">
        <v>4</v>
      </c>
      <c r="C103">
        <v>0</v>
      </c>
    </row>
    <row r="104" spans="1:3" x14ac:dyDescent="0.2">
      <c r="A104" t="s">
        <v>22</v>
      </c>
      <c r="B104">
        <v>4</v>
      </c>
      <c r="C104">
        <v>10.951468000000006</v>
      </c>
    </row>
    <row r="105" spans="1:3" x14ac:dyDescent="0.2">
      <c r="A105" t="s">
        <v>23</v>
      </c>
      <c r="B105">
        <v>4</v>
      </c>
      <c r="C105">
        <v>0</v>
      </c>
    </row>
    <row r="106" spans="1:3" x14ac:dyDescent="0.2">
      <c r="A106" t="s">
        <v>88</v>
      </c>
      <c r="B106">
        <v>4</v>
      </c>
      <c r="C106">
        <v>0</v>
      </c>
    </row>
    <row r="107" spans="1:3" x14ac:dyDescent="0.2">
      <c r="A107" t="s">
        <v>24</v>
      </c>
      <c r="B107">
        <v>4</v>
      </c>
      <c r="C107">
        <v>0</v>
      </c>
    </row>
    <row r="108" spans="1:3" x14ac:dyDescent="0.2">
      <c r="A108" t="s">
        <v>30</v>
      </c>
      <c r="B108">
        <v>5</v>
      </c>
      <c r="C108">
        <v>1.5</v>
      </c>
    </row>
    <row r="109" spans="1:3" x14ac:dyDescent="0.2">
      <c r="A109" t="s">
        <v>5</v>
      </c>
      <c r="B109">
        <v>5</v>
      </c>
      <c r="C109">
        <v>1.5</v>
      </c>
    </row>
    <row r="110" spans="1:3" x14ac:dyDescent="0.2">
      <c r="A110" t="s">
        <v>6</v>
      </c>
      <c r="B110">
        <v>5</v>
      </c>
      <c r="C110">
        <v>1.5</v>
      </c>
    </row>
    <row r="111" spans="1:3" x14ac:dyDescent="0.2">
      <c r="A111" t="s">
        <v>7</v>
      </c>
      <c r="B111">
        <v>5</v>
      </c>
      <c r="C111">
        <v>1.5</v>
      </c>
    </row>
    <row r="112" spans="1:3" x14ac:dyDescent="0.2">
      <c r="A112" t="s">
        <v>31</v>
      </c>
      <c r="B112">
        <v>5</v>
      </c>
      <c r="C112">
        <v>3.7751822579238752</v>
      </c>
    </row>
    <row r="113" spans="1:3" x14ac:dyDescent="0.2">
      <c r="A113" t="s">
        <v>8</v>
      </c>
      <c r="B113">
        <v>5</v>
      </c>
      <c r="C113">
        <v>3.7751822579238752</v>
      </c>
    </row>
    <row r="114" spans="1:3" x14ac:dyDescent="0.2">
      <c r="A114" t="s">
        <v>9</v>
      </c>
      <c r="B114">
        <v>5</v>
      </c>
      <c r="C114">
        <v>3.7751822579238752</v>
      </c>
    </row>
    <row r="115" spans="1:3" x14ac:dyDescent="0.2">
      <c r="A115" t="s">
        <v>10</v>
      </c>
      <c r="B115">
        <v>5</v>
      </c>
      <c r="C115">
        <v>3.7751822579238752</v>
      </c>
    </row>
    <row r="116" spans="1:3" x14ac:dyDescent="0.2">
      <c r="A116" t="s">
        <v>32</v>
      </c>
      <c r="B116">
        <v>5</v>
      </c>
      <c r="C116">
        <v>10.450929406186267</v>
      </c>
    </row>
    <row r="117" spans="1:3" x14ac:dyDescent="0.2">
      <c r="A117" t="s">
        <v>11</v>
      </c>
      <c r="B117">
        <v>5</v>
      </c>
      <c r="C117">
        <v>10.450929406186267</v>
      </c>
    </row>
    <row r="118" spans="1:3" x14ac:dyDescent="0.2">
      <c r="A118" t="s">
        <v>12</v>
      </c>
      <c r="B118">
        <v>5</v>
      </c>
      <c r="C118">
        <v>10.450929406186267</v>
      </c>
    </row>
    <row r="119" spans="1:3" x14ac:dyDescent="0.2">
      <c r="A119" t="s">
        <v>13</v>
      </c>
      <c r="B119">
        <v>5</v>
      </c>
      <c r="C119">
        <v>10.450929406186267</v>
      </c>
    </row>
    <row r="120" spans="1:3" x14ac:dyDescent="0.2">
      <c r="A120" t="s">
        <v>14</v>
      </c>
      <c r="B120">
        <v>5</v>
      </c>
      <c r="C120">
        <v>10.450929406186267</v>
      </c>
    </row>
    <row r="121" spans="1:3" x14ac:dyDescent="0.2">
      <c r="A121" t="s">
        <v>33</v>
      </c>
      <c r="B121">
        <v>5</v>
      </c>
      <c r="C121">
        <v>17.3</v>
      </c>
    </row>
    <row r="122" spans="1:3" x14ac:dyDescent="0.2">
      <c r="A122" t="s">
        <v>34</v>
      </c>
      <c r="B122">
        <v>5</v>
      </c>
      <c r="C122">
        <v>12.046614800000008</v>
      </c>
    </row>
    <row r="123" spans="1:3" x14ac:dyDescent="0.2">
      <c r="A123" t="s">
        <v>15</v>
      </c>
      <c r="B123">
        <v>5</v>
      </c>
      <c r="C123">
        <v>4.6023255121314888</v>
      </c>
    </row>
    <row r="124" spans="1:3" x14ac:dyDescent="0.2">
      <c r="A124" t="s">
        <v>16</v>
      </c>
      <c r="B124">
        <v>5</v>
      </c>
      <c r="C124">
        <v>4.6023255121314888</v>
      </c>
    </row>
    <row r="125" spans="1:3" x14ac:dyDescent="0.2">
      <c r="A125" t="s">
        <v>17</v>
      </c>
      <c r="B125">
        <v>5</v>
      </c>
      <c r="C125">
        <v>1.1261624192640001</v>
      </c>
    </row>
    <row r="126" spans="1:3" x14ac:dyDescent="0.2">
      <c r="A126" t="s">
        <v>18</v>
      </c>
      <c r="B126">
        <v>5</v>
      </c>
      <c r="C126">
        <v>0</v>
      </c>
    </row>
    <row r="127" spans="1:3" x14ac:dyDescent="0.2">
      <c r="A127" t="s">
        <v>19</v>
      </c>
      <c r="B127">
        <v>5</v>
      </c>
      <c r="C127">
        <v>0</v>
      </c>
    </row>
    <row r="128" spans="1:3" x14ac:dyDescent="0.2">
      <c r="A128" t="s">
        <v>20</v>
      </c>
      <c r="B128">
        <v>5</v>
      </c>
      <c r="C128">
        <v>0</v>
      </c>
    </row>
    <row r="129" spans="1:3" x14ac:dyDescent="0.2">
      <c r="A129" t="s">
        <v>21</v>
      </c>
      <c r="B129">
        <v>5</v>
      </c>
      <c r="C129">
        <v>0</v>
      </c>
    </row>
    <row r="130" spans="1:3" x14ac:dyDescent="0.2">
      <c r="A130" t="s">
        <v>22</v>
      </c>
      <c r="B130">
        <v>5</v>
      </c>
      <c r="C130">
        <v>12.046614800000008</v>
      </c>
    </row>
    <row r="131" spans="1:3" x14ac:dyDescent="0.2">
      <c r="A131" t="s">
        <v>23</v>
      </c>
      <c r="B131">
        <v>5</v>
      </c>
      <c r="C131">
        <v>0</v>
      </c>
    </row>
    <row r="132" spans="1:3" x14ac:dyDescent="0.2">
      <c r="A132" t="s">
        <v>88</v>
      </c>
      <c r="B132">
        <v>5</v>
      </c>
      <c r="C132">
        <v>0</v>
      </c>
    </row>
    <row r="133" spans="1:3" x14ac:dyDescent="0.2">
      <c r="A133" t="s">
        <v>24</v>
      </c>
      <c r="B133">
        <v>5</v>
      </c>
      <c r="C133">
        <v>0</v>
      </c>
    </row>
    <row r="134" spans="1:3" x14ac:dyDescent="0.2">
      <c r="A134" t="s">
        <v>30</v>
      </c>
      <c r="B134">
        <v>6</v>
      </c>
      <c r="C134">
        <v>1.5</v>
      </c>
    </row>
    <row r="135" spans="1:3" x14ac:dyDescent="0.2">
      <c r="A135" t="s">
        <v>5</v>
      </c>
      <c r="B135">
        <v>6</v>
      </c>
      <c r="C135">
        <v>1.5</v>
      </c>
    </row>
    <row r="136" spans="1:3" x14ac:dyDescent="0.2">
      <c r="A136" t="s">
        <v>6</v>
      </c>
      <c r="B136">
        <v>6</v>
      </c>
      <c r="C136">
        <v>1.5</v>
      </c>
    </row>
    <row r="137" spans="1:3" x14ac:dyDescent="0.2">
      <c r="A137" t="s">
        <v>7</v>
      </c>
      <c r="B137">
        <v>6</v>
      </c>
      <c r="C137">
        <v>1.5</v>
      </c>
    </row>
    <row r="138" spans="1:3" x14ac:dyDescent="0.2">
      <c r="A138" t="s">
        <v>31</v>
      </c>
      <c r="B138">
        <v>6</v>
      </c>
      <c r="C138">
        <v>3.9116825229286527</v>
      </c>
    </row>
    <row r="139" spans="1:3" x14ac:dyDescent="0.2">
      <c r="A139" t="s">
        <v>8</v>
      </c>
      <c r="B139">
        <v>6</v>
      </c>
      <c r="C139">
        <v>3.9116825229286527</v>
      </c>
    </row>
    <row r="140" spans="1:3" x14ac:dyDescent="0.2">
      <c r="A140" t="s">
        <v>9</v>
      </c>
      <c r="B140">
        <v>6</v>
      </c>
      <c r="C140">
        <v>3.9116825229286527</v>
      </c>
    </row>
    <row r="141" spans="1:3" x14ac:dyDescent="0.2">
      <c r="A141" t="s">
        <v>10</v>
      </c>
      <c r="B141">
        <v>6</v>
      </c>
      <c r="C141">
        <v>3.9116825229286527</v>
      </c>
    </row>
    <row r="142" spans="1:3" x14ac:dyDescent="0.2">
      <c r="A142" t="s">
        <v>32</v>
      </c>
      <c r="B142">
        <v>6</v>
      </c>
      <c r="C142">
        <v>10.665160348292561</v>
      </c>
    </row>
    <row r="143" spans="1:3" x14ac:dyDescent="0.2">
      <c r="A143" t="s">
        <v>11</v>
      </c>
      <c r="B143">
        <v>6</v>
      </c>
      <c r="C143">
        <v>10.665160348292561</v>
      </c>
    </row>
    <row r="144" spans="1:3" x14ac:dyDescent="0.2">
      <c r="A144" t="s">
        <v>12</v>
      </c>
      <c r="B144">
        <v>6</v>
      </c>
      <c r="C144">
        <v>10.665160348292561</v>
      </c>
    </row>
    <row r="145" spans="1:3" x14ac:dyDescent="0.2">
      <c r="A145" t="s">
        <v>13</v>
      </c>
      <c r="B145">
        <v>6</v>
      </c>
      <c r="C145">
        <v>10.665160348292561</v>
      </c>
    </row>
    <row r="146" spans="1:3" x14ac:dyDescent="0.2">
      <c r="A146" t="s">
        <v>14</v>
      </c>
      <c r="B146">
        <v>6</v>
      </c>
      <c r="C146">
        <v>10.665160348292561</v>
      </c>
    </row>
    <row r="147" spans="1:3" x14ac:dyDescent="0.2">
      <c r="A147" t="s">
        <v>33</v>
      </c>
      <c r="B147">
        <v>6</v>
      </c>
      <c r="C147">
        <v>17.7</v>
      </c>
    </row>
    <row r="148" spans="1:3" x14ac:dyDescent="0.2">
      <c r="A148" t="s">
        <v>34</v>
      </c>
      <c r="B148">
        <v>6</v>
      </c>
      <c r="C148">
        <v>13.25127628000001</v>
      </c>
    </row>
    <row r="149" spans="1:3" x14ac:dyDescent="0.2">
      <c r="A149" t="s">
        <v>15</v>
      </c>
      <c r="B149">
        <v>6</v>
      </c>
      <c r="C149">
        <v>4.8456418986357885</v>
      </c>
    </row>
    <row r="150" spans="1:3" x14ac:dyDescent="0.2">
      <c r="A150" t="s">
        <v>16</v>
      </c>
      <c r="B150">
        <v>6</v>
      </c>
      <c r="C150">
        <v>4.8456418986357885</v>
      </c>
    </row>
    <row r="151" spans="1:3" x14ac:dyDescent="0.2">
      <c r="A151" t="s">
        <v>17</v>
      </c>
      <c r="B151">
        <v>6</v>
      </c>
      <c r="C151">
        <v>1.14868566764928</v>
      </c>
    </row>
    <row r="152" spans="1:3" x14ac:dyDescent="0.2">
      <c r="A152" t="s">
        <v>18</v>
      </c>
      <c r="B152">
        <v>6</v>
      </c>
      <c r="C152">
        <v>0</v>
      </c>
    </row>
    <row r="153" spans="1:3" x14ac:dyDescent="0.2">
      <c r="A153" t="s">
        <v>19</v>
      </c>
      <c r="B153">
        <v>6</v>
      </c>
      <c r="C153">
        <v>0</v>
      </c>
    </row>
    <row r="154" spans="1:3" x14ac:dyDescent="0.2">
      <c r="A154" t="s">
        <v>20</v>
      </c>
      <c r="B154">
        <v>6</v>
      </c>
      <c r="C154">
        <v>0</v>
      </c>
    </row>
    <row r="155" spans="1:3" x14ac:dyDescent="0.2">
      <c r="A155" t="s">
        <v>21</v>
      </c>
      <c r="B155">
        <v>6</v>
      </c>
      <c r="C155">
        <v>0</v>
      </c>
    </row>
    <row r="156" spans="1:3" x14ac:dyDescent="0.2">
      <c r="A156" t="s">
        <v>22</v>
      </c>
      <c r="B156">
        <v>6</v>
      </c>
      <c r="C156">
        <v>13.25127628000001</v>
      </c>
    </row>
    <row r="157" spans="1:3" x14ac:dyDescent="0.2">
      <c r="A157" t="s">
        <v>23</v>
      </c>
      <c r="B157">
        <v>6</v>
      </c>
      <c r="C157">
        <v>0</v>
      </c>
    </row>
    <row r="158" spans="1:3" x14ac:dyDescent="0.2">
      <c r="A158" t="s">
        <v>88</v>
      </c>
      <c r="B158">
        <v>6</v>
      </c>
      <c r="C158">
        <v>0</v>
      </c>
    </row>
    <row r="159" spans="1:3" x14ac:dyDescent="0.2">
      <c r="A159" t="s">
        <v>24</v>
      </c>
      <c r="B159">
        <v>6</v>
      </c>
      <c r="C159">
        <v>0</v>
      </c>
    </row>
    <row r="160" spans="1:3" x14ac:dyDescent="0.2">
      <c r="A160" t="s">
        <v>30</v>
      </c>
      <c r="B160">
        <v>7</v>
      </c>
      <c r="C160">
        <v>1.5</v>
      </c>
    </row>
    <row r="161" spans="1:3" x14ac:dyDescent="0.2">
      <c r="A161" t="s">
        <v>5</v>
      </c>
      <c r="B161">
        <v>7</v>
      </c>
      <c r="C161">
        <v>1.5</v>
      </c>
    </row>
    <row r="162" spans="1:3" x14ac:dyDescent="0.2">
      <c r="A162" t="s">
        <v>6</v>
      </c>
      <c r="B162">
        <v>7</v>
      </c>
      <c r="C162">
        <v>1.5</v>
      </c>
    </row>
    <row r="163" spans="1:3" x14ac:dyDescent="0.2">
      <c r="A163" t="s">
        <v>7</v>
      </c>
      <c r="B163">
        <v>7</v>
      </c>
      <c r="C163">
        <v>1.5</v>
      </c>
    </row>
    <row r="164" spans="1:3" x14ac:dyDescent="0.2">
      <c r="A164" t="s">
        <v>31</v>
      </c>
      <c r="B164">
        <v>7</v>
      </c>
      <c r="C164">
        <v>4.020680066959919</v>
      </c>
    </row>
    <row r="165" spans="1:3" x14ac:dyDescent="0.2">
      <c r="A165" t="s">
        <v>8</v>
      </c>
      <c r="B165">
        <v>7</v>
      </c>
      <c r="C165">
        <v>4.020680066959919</v>
      </c>
    </row>
    <row r="166" spans="1:3" x14ac:dyDescent="0.2">
      <c r="A166" t="s">
        <v>9</v>
      </c>
      <c r="B166">
        <v>7</v>
      </c>
      <c r="C166">
        <v>4.020680066959919</v>
      </c>
    </row>
    <row r="167" spans="1:3" x14ac:dyDescent="0.2">
      <c r="A167" t="s">
        <v>10</v>
      </c>
      <c r="B167">
        <v>7</v>
      </c>
      <c r="C167">
        <v>4.020680066959919</v>
      </c>
    </row>
    <row r="168" spans="1:3" x14ac:dyDescent="0.2">
      <c r="A168" t="s">
        <v>32</v>
      </c>
      <c r="B168">
        <v>7</v>
      </c>
      <c r="C168">
        <v>10.829622511919441</v>
      </c>
    </row>
    <row r="169" spans="1:3" x14ac:dyDescent="0.2">
      <c r="A169" t="s">
        <v>11</v>
      </c>
      <c r="B169">
        <v>7</v>
      </c>
      <c r="C169">
        <v>10.829622511919441</v>
      </c>
    </row>
    <row r="170" spans="1:3" x14ac:dyDescent="0.2">
      <c r="A170" t="s">
        <v>12</v>
      </c>
      <c r="B170">
        <v>7</v>
      </c>
      <c r="C170">
        <v>10.829622511919441</v>
      </c>
    </row>
    <row r="171" spans="1:3" x14ac:dyDescent="0.2">
      <c r="A171" t="s">
        <v>13</v>
      </c>
      <c r="B171">
        <v>7</v>
      </c>
      <c r="C171">
        <v>10.829622511919441</v>
      </c>
    </row>
    <row r="172" spans="1:3" x14ac:dyDescent="0.2">
      <c r="A172" t="s">
        <v>14</v>
      </c>
      <c r="B172">
        <v>7</v>
      </c>
      <c r="C172">
        <v>10.829622511919441</v>
      </c>
    </row>
    <row r="173" spans="1:3" x14ac:dyDescent="0.2">
      <c r="A173" t="s">
        <v>33</v>
      </c>
      <c r="B173">
        <v>7</v>
      </c>
      <c r="C173">
        <v>18.100000000000001</v>
      </c>
    </row>
    <row r="174" spans="1:3" x14ac:dyDescent="0.2">
      <c r="A174" t="s">
        <v>34</v>
      </c>
      <c r="B174">
        <v>7</v>
      </c>
      <c r="C174">
        <v>14.576403908000012</v>
      </c>
    </row>
    <row r="175" spans="1:3" x14ac:dyDescent="0.2">
      <c r="A175" t="s">
        <v>15</v>
      </c>
      <c r="B175">
        <v>7</v>
      </c>
      <c r="C175">
        <v>5.0762524510639286</v>
      </c>
    </row>
    <row r="176" spans="1:3" x14ac:dyDescent="0.2">
      <c r="A176" t="s">
        <v>16</v>
      </c>
      <c r="B176">
        <v>7</v>
      </c>
      <c r="C176">
        <v>5.0762524510639286</v>
      </c>
    </row>
    <row r="177" spans="1:3" x14ac:dyDescent="0.2">
      <c r="A177" t="s">
        <v>17</v>
      </c>
      <c r="B177">
        <v>7</v>
      </c>
      <c r="C177">
        <v>1.1716593810022657</v>
      </c>
    </row>
    <row r="178" spans="1:3" x14ac:dyDescent="0.2">
      <c r="A178" t="s">
        <v>18</v>
      </c>
      <c r="B178">
        <v>7</v>
      </c>
      <c r="C178">
        <v>0</v>
      </c>
    </row>
    <row r="179" spans="1:3" x14ac:dyDescent="0.2">
      <c r="A179" t="s">
        <v>19</v>
      </c>
      <c r="B179">
        <v>7</v>
      </c>
      <c r="C179">
        <v>0</v>
      </c>
    </row>
    <row r="180" spans="1:3" x14ac:dyDescent="0.2">
      <c r="A180" t="s">
        <v>20</v>
      </c>
      <c r="B180">
        <v>7</v>
      </c>
      <c r="C180">
        <v>0</v>
      </c>
    </row>
    <row r="181" spans="1:3" x14ac:dyDescent="0.2">
      <c r="A181" t="s">
        <v>21</v>
      </c>
      <c r="B181">
        <v>7</v>
      </c>
      <c r="C181">
        <v>0</v>
      </c>
    </row>
    <row r="182" spans="1:3" x14ac:dyDescent="0.2">
      <c r="A182" t="s">
        <v>22</v>
      </c>
      <c r="B182">
        <v>7</v>
      </c>
      <c r="C182">
        <v>14.576403908000012</v>
      </c>
    </row>
    <row r="183" spans="1:3" x14ac:dyDescent="0.2">
      <c r="A183" t="s">
        <v>23</v>
      </c>
      <c r="B183">
        <v>7</v>
      </c>
      <c r="C183">
        <v>0</v>
      </c>
    </row>
    <row r="184" spans="1:3" x14ac:dyDescent="0.2">
      <c r="A184" t="s">
        <v>88</v>
      </c>
      <c r="B184">
        <v>7</v>
      </c>
      <c r="C184">
        <v>0</v>
      </c>
    </row>
    <row r="185" spans="1:3" x14ac:dyDescent="0.2">
      <c r="A185" t="s">
        <v>24</v>
      </c>
      <c r="B185">
        <v>7</v>
      </c>
      <c r="C185">
        <v>0</v>
      </c>
    </row>
    <row r="186" spans="1:3" x14ac:dyDescent="0.2">
      <c r="A186" t="s">
        <v>30</v>
      </c>
      <c r="B186">
        <v>8</v>
      </c>
      <c r="C186">
        <v>1.5</v>
      </c>
    </row>
    <row r="187" spans="1:3" x14ac:dyDescent="0.2">
      <c r="A187" t="s">
        <v>5</v>
      </c>
      <c r="B187">
        <v>8</v>
      </c>
      <c r="C187">
        <v>1.5</v>
      </c>
    </row>
    <row r="188" spans="1:3" x14ac:dyDescent="0.2">
      <c r="A188" t="s">
        <v>6</v>
      </c>
      <c r="B188">
        <v>8</v>
      </c>
      <c r="C188">
        <v>1.5</v>
      </c>
    </row>
    <row r="189" spans="1:3" x14ac:dyDescent="0.2">
      <c r="A189" t="s">
        <v>7</v>
      </c>
      <c r="B189">
        <v>8</v>
      </c>
      <c r="C189">
        <v>1.5</v>
      </c>
    </row>
    <row r="190" spans="1:3" x14ac:dyDescent="0.2">
      <c r="A190" t="s">
        <v>31</v>
      </c>
      <c r="B190">
        <v>8</v>
      </c>
      <c r="C190">
        <v>4.020680066959919</v>
      </c>
    </row>
    <row r="191" spans="1:3" x14ac:dyDescent="0.2">
      <c r="A191" t="s">
        <v>8</v>
      </c>
      <c r="B191">
        <v>8</v>
      </c>
      <c r="C191">
        <v>4.020680066959919</v>
      </c>
    </row>
    <row r="192" spans="1:3" x14ac:dyDescent="0.2">
      <c r="A192" t="s">
        <v>9</v>
      </c>
      <c r="B192">
        <v>8</v>
      </c>
      <c r="C192">
        <v>4.020680066959919</v>
      </c>
    </row>
    <row r="193" spans="1:3" x14ac:dyDescent="0.2">
      <c r="A193" t="s">
        <v>10</v>
      </c>
      <c r="B193">
        <v>8</v>
      </c>
      <c r="C193">
        <v>4.020680066959919</v>
      </c>
    </row>
    <row r="194" spans="1:3" x14ac:dyDescent="0.2">
      <c r="A194" t="s">
        <v>32</v>
      </c>
      <c r="B194">
        <v>8</v>
      </c>
      <c r="C194">
        <v>10.829622511919441</v>
      </c>
    </row>
    <row r="195" spans="1:3" x14ac:dyDescent="0.2">
      <c r="A195" t="s">
        <v>11</v>
      </c>
      <c r="B195">
        <v>8</v>
      </c>
      <c r="C195">
        <v>10.829622511919441</v>
      </c>
    </row>
    <row r="196" spans="1:3" x14ac:dyDescent="0.2">
      <c r="A196" t="s">
        <v>12</v>
      </c>
      <c r="B196">
        <v>8</v>
      </c>
      <c r="C196">
        <v>10.829622511919441</v>
      </c>
    </row>
    <row r="197" spans="1:3" x14ac:dyDescent="0.2">
      <c r="A197" t="s">
        <v>13</v>
      </c>
      <c r="B197">
        <v>8</v>
      </c>
      <c r="C197">
        <v>10.829622511919441</v>
      </c>
    </row>
    <row r="198" spans="1:3" x14ac:dyDescent="0.2">
      <c r="A198" t="s">
        <v>14</v>
      </c>
      <c r="B198">
        <v>8</v>
      </c>
      <c r="C198">
        <v>10.829622511919441</v>
      </c>
    </row>
    <row r="199" spans="1:3" x14ac:dyDescent="0.2">
      <c r="A199" t="s">
        <v>33</v>
      </c>
      <c r="B199">
        <v>8</v>
      </c>
      <c r="C199">
        <v>18.100000000000001</v>
      </c>
    </row>
    <row r="200" spans="1:3" x14ac:dyDescent="0.2">
      <c r="A200" t="s">
        <v>34</v>
      </c>
      <c r="B200">
        <v>8</v>
      </c>
      <c r="C200">
        <v>14.576403908000012</v>
      </c>
    </row>
    <row r="201" spans="1:3" x14ac:dyDescent="0.2">
      <c r="A201" t="s">
        <v>15</v>
      </c>
      <c r="B201">
        <v>8</v>
      </c>
      <c r="C201">
        <v>5.0762524510639286</v>
      </c>
    </row>
    <row r="202" spans="1:3" x14ac:dyDescent="0.2">
      <c r="A202" t="s">
        <v>16</v>
      </c>
      <c r="B202">
        <v>8</v>
      </c>
      <c r="C202">
        <v>5.0762524510639286</v>
      </c>
    </row>
    <row r="203" spans="1:3" x14ac:dyDescent="0.2">
      <c r="A203" t="s">
        <v>17</v>
      </c>
      <c r="B203">
        <v>8</v>
      </c>
      <c r="C203">
        <v>1.1716593810022657</v>
      </c>
    </row>
    <row r="204" spans="1:3" x14ac:dyDescent="0.2">
      <c r="A204" t="s">
        <v>18</v>
      </c>
      <c r="B204">
        <v>8</v>
      </c>
      <c r="C204">
        <v>0</v>
      </c>
    </row>
    <row r="205" spans="1:3" x14ac:dyDescent="0.2">
      <c r="A205" t="s">
        <v>19</v>
      </c>
      <c r="B205">
        <v>8</v>
      </c>
      <c r="C205">
        <v>0</v>
      </c>
    </row>
    <row r="206" spans="1:3" x14ac:dyDescent="0.2">
      <c r="A206" t="s">
        <v>20</v>
      </c>
      <c r="B206">
        <v>8</v>
      </c>
      <c r="C206">
        <v>0</v>
      </c>
    </row>
    <row r="207" spans="1:3" x14ac:dyDescent="0.2">
      <c r="A207" t="s">
        <v>21</v>
      </c>
      <c r="B207">
        <v>8</v>
      </c>
      <c r="C207">
        <v>0</v>
      </c>
    </row>
    <row r="208" spans="1:3" x14ac:dyDescent="0.2">
      <c r="A208" t="s">
        <v>22</v>
      </c>
      <c r="B208">
        <v>8</v>
      </c>
      <c r="C208">
        <v>14.576403908000012</v>
      </c>
    </row>
    <row r="209" spans="1:3" x14ac:dyDescent="0.2">
      <c r="A209" t="s">
        <v>23</v>
      </c>
      <c r="B209">
        <v>8</v>
      </c>
      <c r="C209">
        <v>0</v>
      </c>
    </row>
    <row r="210" spans="1:3" x14ac:dyDescent="0.2">
      <c r="A210" t="s">
        <v>88</v>
      </c>
      <c r="B210">
        <v>8</v>
      </c>
      <c r="C210">
        <v>0</v>
      </c>
    </row>
    <row r="211" spans="1:3" x14ac:dyDescent="0.2">
      <c r="A211" t="s">
        <v>24</v>
      </c>
      <c r="B211">
        <v>8</v>
      </c>
      <c r="C211">
        <v>0</v>
      </c>
    </row>
    <row r="212" spans="1:3" x14ac:dyDescent="0.2">
      <c r="A212" t="s">
        <v>25</v>
      </c>
      <c r="B212">
        <v>1</v>
      </c>
      <c r="C212">
        <v>0</v>
      </c>
    </row>
    <row r="213" spans="1:3" x14ac:dyDescent="0.2">
      <c r="A213" t="s">
        <v>25</v>
      </c>
      <c r="B213">
        <v>2</v>
      </c>
      <c r="C213">
        <v>0</v>
      </c>
    </row>
    <row r="214" spans="1:3" x14ac:dyDescent="0.2">
      <c r="A214" t="s">
        <v>25</v>
      </c>
      <c r="B214">
        <v>3</v>
      </c>
      <c r="C214">
        <v>0</v>
      </c>
    </row>
    <row r="215" spans="1:3" x14ac:dyDescent="0.2">
      <c r="A215" t="s">
        <v>25</v>
      </c>
      <c r="B215">
        <v>4</v>
      </c>
      <c r="C215">
        <v>0</v>
      </c>
    </row>
    <row r="216" spans="1:3" x14ac:dyDescent="0.2">
      <c r="A216" t="s">
        <v>25</v>
      </c>
      <c r="B216">
        <v>5</v>
      </c>
      <c r="C216">
        <v>0</v>
      </c>
    </row>
    <row r="217" spans="1:3" x14ac:dyDescent="0.2">
      <c r="A217" t="s">
        <v>25</v>
      </c>
      <c r="B217">
        <v>6</v>
      </c>
      <c r="C217">
        <v>0</v>
      </c>
    </row>
    <row r="218" spans="1:3" x14ac:dyDescent="0.2">
      <c r="A218" t="s">
        <v>25</v>
      </c>
      <c r="B218">
        <v>7</v>
      </c>
      <c r="C218">
        <v>0</v>
      </c>
    </row>
    <row r="219" spans="1:3" x14ac:dyDescent="0.2">
      <c r="A219" t="s">
        <v>25</v>
      </c>
      <c r="B219">
        <v>8</v>
      </c>
      <c r="C219">
        <v>0</v>
      </c>
    </row>
    <row r="220" spans="1:3" x14ac:dyDescent="0.2">
      <c r="A220" t="s">
        <v>89</v>
      </c>
      <c r="B220">
        <v>1</v>
      </c>
      <c r="C220">
        <v>0</v>
      </c>
    </row>
    <row r="221" spans="1:3" x14ac:dyDescent="0.2">
      <c r="A221" t="s">
        <v>89</v>
      </c>
      <c r="B221">
        <v>2</v>
      </c>
      <c r="C221">
        <v>0</v>
      </c>
    </row>
    <row r="222" spans="1:3" x14ac:dyDescent="0.2">
      <c r="A222" t="s">
        <v>89</v>
      </c>
      <c r="B222">
        <v>3</v>
      </c>
      <c r="C222">
        <v>0</v>
      </c>
    </row>
    <row r="223" spans="1:3" x14ac:dyDescent="0.2">
      <c r="A223" t="s">
        <v>89</v>
      </c>
      <c r="B223">
        <v>4</v>
      </c>
      <c r="C223">
        <v>0</v>
      </c>
    </row>
    <row r="224" spans="1:3" x14ac:dyDescent="0.2">
      <c r="A224" t="s">
        <v>89</v>
      </c>
      <c r="B224">
        <v>5</v>
      </c>
      <c r="C224">
        <v>0</v>
      </c>
    </row>
    <row r="225" spans="1:3" x14ac:dyDescent="0.2">
      <c r="A225" t="s">
        <v>89</v>
      </c>
      <c r="B225">
        <v>6</v>
      </c>
      <c r="C225">
        <v>0</v>
      </c>
    </row>
    <row r="226" spans="1:3" x14ac:dyDescent="0.2">
      <c r="A226" t="s">
        <v>89</v>
      </c>
      <c r="B226">
        <v>7</v>
      </c>
      <c r="C226">
        <v>0</v>
      </c>
    </row>
    <row r="227" spans="1:3" x14ac:dyDescent="0.2">
      <c r="A227" t="s">
        <v>89</v>
      </c>
      <c r="B227">
        <v>8</v>
      </c>
      <c r="C227">
        <v>0</v>
      </c>
    </row>
  </sheetData>
  <autoFilter ref="A1:C227" xr:uid="{6B1F8AA4-01CB-49E0-A151-D37F60E106F4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7637-40B8-4C85-8CCA-D48BD2E78F57}">
  <dimension ref="A1:B11"/>
  <sheetViews>
    <sheetView workbookViewId="0"/>
  </sheetViews>
  <sheetFormatPr baseColWidth="10" defaultColWidth="10.83203125" defaultRowHeight="15" x14ac:dyDescent="0.2"/>
  <cols>
    <col min="1" max="1" width="9.5" bestFit="1" customWidth="1"/>
    <col min="2" max="2" width="23.1640625" bestFit="1" customWidth="1"/>
  </cols>
  <sheetData>
    <row r="1" spans="1:2" x14ac:dyDescent="0.2">
      <c r="A1" t="s">
        <v>38</v>
      </c>
    </row>
    <row r="2" spans="1:2" x14ac:dyDescent="0.2">
      <c r="A2" t="s">
        <v>39</v>
      </c>
    </row>
    <row r="3" spans="1:2" x14ac:dyDescent="0.2">
      <c r="A3" t="s">
        <v>3</v>
      </c>
      <c r="B3" t="s">
        <v>40</v>
      </c>
    </row>
    <row r="4" spans="1:2" x14ac:dyDescent="0.2">
      <c r="A4">
        <v>1</v>
      </c>
      <c r="B4">
        <v>14.079703497822493</v>
      </c>
    </row>
    <row r="5" spans="1:2" x14ac:dyDescent="0.2">
      <c r="A5">
        <v>2</v>
      </c>
      <c r="B5">
        <v>14.079703497822493</v>
      </c>
    </row>
    <row r="6" spans="1:2" x14ac:dyDescent="0.2">
      <c r="A6">
        <v>3</v>
      </c>
      <c r="B6">
        <v>14.079703497822493</v>
      </c>
    </row>
    <row r="7" spans="1:2" x14ac:dyDescent="0.2">
      <c r="A7">
        <v>4</v>
      </c>
      <c r="B7">
        <v>14.034289327890303</v>
      </c>
    </row>
    <row r="8" spans="1:2" x14ac:dyDescent="0.2">
      <c r="A8">
        <v>5</v>
      </c>
      <c r="B8">
        <v>12.82179299472824</v>
      </c>
    </row>
    <row r="9" spans="1:2" x14ac:dyDescent="0.2">
      <c r="A9">
        <v>6</v>
      </c>
      <c r="B9">
        <v>13.316996928789825</v>
      </c>
    </row>
    <row r="10" spans="1:2" x14ac:dyDescent="0.2">
      <c r="A10">
        <v>7</v>
      </c>
      <c r="B10">
        <v>13.628762337450148</v>
      </c>
    </row>
    <row r="11" spans="1:2" x14ac:dyDescent="0.2">
      <c r="A11">
        <v>8</v>
      </c>
      <c r="B11">
        <v>13.628762337450148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B00D-6958-4463-84DB-BA9095D2D9BC}">
  <dimension ref="A1:C227"/>
  <sheetViews>
    <sheetView topLeftCell="A213" workbookViewId="0">
      <selection activeCell="G37" sqref="G37"/>
    </sheetView>
  </sheetViews>
  <sheetFormatPr baseColWidth="10" defaultColWidth="10.83203125" defaultRowHeight="15" x14ac:dyDescent="0.2"/>
  <cols>
    <col min="1" max="1" width="26.33203125" customWidth="1"/>
    <col min="2" max="2" width="6.83203125" bestFit="1" customWidth="1"/>
    <col min="3" max="3" width="16" bestFit="1" customWidth="1"/>
  </cols>
  <sheetData>
    <row r="1" spans="1:3" x14ac:dyDescent="0.2">
      <c r="A1" t="s">
        <v>41</v>
      </c>
    </row>
    <row r="2" spans="1:3" x14ac:dyDescent="0.2">
      <c r="A2" t="s">
        <v>0</v>
      </c>
    </row>
    <row r="3" spans="1:3" ht="16" x14ac:dyDescent="0.2">
      <c r="A3" t="s">
        <v>2</v>
      </c>
      <c r="B3" s="1" t="s">
        <v>3</v>
      </c>
      <c r="C3" t="s">
        <v>42</v>
      </c>
    </row>
    <row r="4" spans="1:3" x14ac:dyDescent="0.2">
      <c r="A4" t="s">
        <v>22</v>
      </c>
      <c r="B4">
        <v>1</v>
      </c>
      <c r="C4">
        <v>0.35</v>
      </c>
    </row>
    <row r="5" spans="1:3" x14ac:dyDescent="0.2">
      <c r="A5" t="s">
        <v>22</v>
      </c>
      <c r="B5">
        <v>2</v>
      </c>
      <c r="C5">
        <v>0.35</v>
      </c>
    </row>
    <row r="6" spans="1:3" x14ac:dyDescent="0.2">
      <c r="A6" t="s">
        <v>22</v>
      </c>
      <c r="B6">
        <v>3</v>
      </c>
      <c r="C6">
        <v>0.39</v>
      </c>
    </row>
    <row r="7" spans="1:3" x14ac:dyDescent="0.2">
      <c r="A7" t="s">
        <v>22</v>
      </c>
      <c r="B7">
        <v>4</v>
      </c>
      <c r="C7">
        <v>0.39</v>
      </c>
    </row>
    <row r="8" spans="1:3" x14ac:dyDescent="0.2">
      <c r="A8" t="s">
        <v>22</v>
      </c>
      <c r="B8">
        <v>5</v>
      </c>
      <c r="C8">
        <v>0.4</v>
      </c>
    </row>
    <row r="9" spans="1:3" x14ac:dyDescent="0.2">
      <c r="A9" t="s">
        <v>22</v>
      </c>
      <c r="B9">
        <v>6</v>
      </c>
      <c r="C9">
        <v>0.4</v>
      </c>
    </row>
    <row r="10" spans="1:3" x14ac:dyDescent="0.2">
      <c r="A10" t="s">
        <v>22</v>
      </c>
      <c r="B10">
        <v>7</v>
      </c>
      <c r="C10">
        <v>0.4</v>
      </c>
    </row>
    <row r="11" spans="1:3" x14ac:dyDescent="0.2">
      <c r="A11" t="s">
        <v>22</v>
      </c>
      <c r="B11">
        <v>8</v>
      </c>
      <c r="C11">
        <v>0.4</v>
      </c>
    </row>
    <row r="12" spans="1:3" x14ac:dyDescent="0.2">
      <c r="A12" t="s">
        <v>15</v>
      </c>
      <c r="B12">
        <v>1</v>
      </c>
      <c r="C12">
        <v>0.45</v>
      </c>
    </row>
    <row r="13" spans="1:3" x14ac:dyDescent="0.2">
      <c r="A13" t="s">
        <v>15</v>
      </c>
      <c r="B13">
        <v>2</v>
      </c>
      <c r="C13">
        <v>0.45500000000000002</v>
      </c>
    </row>
    <row r="14" spans="1:3" x14ac:dyDescent="0.2">
      <c r="A14" t="s">
        <v>15</v>
      </c>
      <c r="B14">
        <v>3</v>
      </c>
      <c r="C14">
        <v>0.46</v>
      </c>
    </row>
    <row r="15" spans="1:3" x14ac:dyDescent="0.2">
      <c r="A15" t="s">
        <v>15</v>
      </c>
      <c r="B15">
        <v>4</v>
      </c>
      <c r="C15">
        <v>0.46500000000000002</v>
      </c>
    </row>
    <row r="16" spans="1:3" x14ac:dyDescent="0.2">
      <c r="A16" t="s">
        <v>15</v>
      </c>
      <c r="B16">
        <v>5</v>
      </c>
      <c r="C16">
        <v>0.47</v>
      </c>
    </row>
    <row r="17" spans="1:3" x14ac:dyDescent="0.2">
      <c r="A17" t="s">
        <v>15</v>
      </c>
      <c r="B17">
        <v>6</v>
      </c>
      <c r="C17">
        <v>0.47499999999999998</v>
      </c>
    </row>
    <row r="18" spans="1:3" x14ac:dyDescent="0.2">
      <c r="A18" t="s">
        <v>15</v>
      </c>
      <c r="B18">
        <v>7</v>
      </c>
      <c r="C18">
        <v>0.48</v>
      </c>
    </row>
    <row r="19" spans="1:3" x14ac:dyDescent="0.2">
      <c r="A19" t="s">
        <v>15</v>
      </c>
      <c r="B19">
        <v>8</v>
      </c>
      <c r="C19">
        <v>0.48499999999999999</v>
      </c>
    </row>
    <row r="20" spans="1:3" x14ac:dyDescent="0.2">
      <c r="A20" t="s">
        <v>16</v>
      </c>
      <c r="B20">
        <v>1</v>
      </c>
      <c r="C20">
        <v>0.38500000000000001</v>
      </c>
    </row>
    <row r="21" spans="1:3" x14ac:dyDescent="0.2">
      <c r="A21" t="s">
        <v>16</v>
      </c>
      <c r="B21">
        <v>2</v>
      </c>
      <c r="C21">
        <v>0.38500000000000001</v>
      </c>
    </row>
    <row r="22" spans="1:3" x14ac:dyDescent="0.2">
      <c r="A22" t="s">
        <v>16</v>
      </c>
      <c r="B22">
        <v>3</v>
      </c>
      <c r="C22">
        <v>0.38500000000000001</v>
      </c>
    </row>
    <row r="23" spans="1:3" x14ac:dyDescent="0.2">
      <c r="A23" t="s">
        <v>16</v>
      </c>
      <c r="B23">
        <v>4</v>
      </c>
      <c r="C23">
        <v>0.38500000000000001</v>
      </c>
    </row>
    <row r="24" spans="1:3" x14ac:dyDescent="0.2">
      <c r="A24" t="s">
        <v>16</v>
      </c>
      <c r="B24">
        <v>5</v>
      </c>
      <c r="C24">
        <v>0.39500000000000002</v>
      </c>
    </row>
    <row r="25" spans="1:3" x14ac:dyDescent="0.2">
      <c r="A25" t="s">
        <v>16</v>
      </c>
      <c r="B25">
        <v>6</v>
      </c>
      <c r="C25">
        <v>0.40500000000000003</v>
      </c>
    </row>
    <row r="26" spans="1:3" x14ac:dyDescent="0.2">
      <c r="A26" t="s">
        <v>16</v>
      </c>
      <c r="B26">
        <v>7</v>
      </c>
      <c r="C26">
        <v>0.41299999999999998</v>
      </c>
    </row>
    <row r="27" spans="1:3" x14ac:dyDescent="0.2">
      <c r="A27" t="s">
        <v>16</v>
      </c>
      <c r="B27">
        <v>8</v>
      </c>
      <c r="C27">
        <v>0.42099999999999999</v>
      </c>
    </row>
    <row r="28" spans="1:3" x14ac:dyDescent="0.2">
      <c r="A28" t="s">
        <v>34</v>
      </c>
      <c r="B28">
        <v>1</v>
      </c>
      <c r="C28">
        <v>0.35</v>
      </c>
    </row>
    <row r="29" spans="1:3" x14ac:dyDescent="0.2">
      <c r="A29" t="s">
        <v>34</v>
      </c>
      <c r="B29">
        <v>2</v>
      </c>
      <c r="C29">
        <v>0.35</v>
      </c>
    </row>
    <row r="30" spans="1:3" x14ac:dyDescent="0.2">
      <c r="A30" t="s">
        <v>34</v>
      </c>
      <c r="B30">
        <v>3</v>
      </c>
      <c r="C30">
        <v>0.39</v>
      </c>
    </row>
    <row r="31" spans="1:3" x14ac:dyDescent="0.2">
      <c r="A31" t="s">
        <v>34</v>
      </c>
      <c r="B31">
        <v>4</v>
      </c>
      <c r="C31">
        <v>0.39</v>
      </c>
    </row>
    <row r="32" spans="1:3" x14ac:dyDescent="0.2">
      <c r="A32" t="s">
        <v>34</v>
      </c>
      <c r="B32">
        <v>5</v>
      </c>
      <c r="C32">
        <v>0.4</v>
      </c>
    </row>
    <row r="33" spans="1:3" x14ac:dyDescent="0.2">
      <c r="A33" t="s">
        <v>34</v>
      </c>
      <c r="B33">
        <v>6</v>
      </c>
      <c r="C33">
        <v>0.4</v>
      </c>
    </row>
    <row r="34" spans="1:3" x14ac:dyDescent="0.2">
      <c r="A34" t="s">
        <v>34</v>
      </c>
      <c r="B34">
        <v>7</v>
      </c>
      <c r="C34">
        <v>0.4</v>
      </c>
    </row>
    <row r="35" spans="1:3" x14ac:dyDescent="0.2">
      <c r="A35" t="s">
        <v>34</v>
      </c>
      <c r="B35">
        <v>8</v>
      </c>
      <c r="C35">
        <v>0.4</v>
      </c>
    </row>
    <row r="36" spans="1:3" x14ac:dyDescent="0.2">
      <c r="A36" t="s">
        <v>8</v>
      </c>
      <c r="B36">
        <v>1</v>
      </c>
      <c r="C36">
        <v>0.38</v>
      </c>
    </row>
    <row r="37" spans="1:3" x14ac:dyDescent="0.2">
      <c r="A37" t="s">
        <v>8</v>
      </c>
      <c r="B37">
        <v>2</v>
      </c>
      <c r="C37">
        <v>0.38</v>
      </c>
    </row>
    <row r="38" spans="1:3" x14ac:dyDescent="0.2">
      <c r="A38" t="s">
        <v>8</v>
      </c>
      <c r="B38">
        <v>3</v>
      </c>
      <c r="C38">
        <v>0.42</v>
      </c>
    </row>
    <row r="39" spans="1:3" x14ac:dyDescent="0.2">
      <c r="A39" t="s">
        <v>8</v>
      </c>
      <c r="B39">
        <v>4</v>
      </c>
      <c r="C39">
        <v>0.42</v>
      </c>
    </row>
    <row r="40" spans="1:3" x14ac:dyDescent="0.2">
      <c r="A40" t="s">
        <v>8</v>
      </c>
      <c r="B40">
        <v>5</v>
      </c>
      <c r="C40">
        <v>0.43</v>
      </c>
    </row>
    <row r="41" spans="1:3" x14ac:dyDescent="0.2">
      <c r="A41" t="s">
        <v>8</v>
      </c>
      <c r="B41">
        <v>6</v>
      </c>
      <c r="C41">
        <v>0.43</v>
      </c>
    </row>
    <row r="42" spans="1:3" x14ac:dyDescent="0.2">
      <c r="A42" t="s">
        <v>8</v>
      </c>
      <c r="B42">
        <v>7</v>
      </c>
      <c r="C42">
        <v>0.43</v>
      </c>
    </row>
    <row r="43" spans="1:3" x14ac:dyDescent="0.2">
      <c r="A43" t="s">
        <v>8</v>
      </c>
      <c r="B43">
        <v>8</v>
      </c>
      <c r="C43">
        <v>0.43</v>
      </c>
    </row>
    <row r="44" spans="1:3" x14ac:dyDescent="0.2">
      <c r="A44" t="s">
        <v>10</v>
      </c>
      <c r="B44">
        <v>1</v>
      </c>
      <c r="C44">
        <v>0.37</v>
      </c>
    </row>
    <row r="45" spans="1:3" x14ac:dyDescent="0.2">
      <c r="A45" t="s">
        <v>10</v>
      </c>
      <c r="B45">
        <v>2</v>
      </c>
      <c r="C45">
        <v>0.37</v>
      </c>
    </row>
    <row r="46" spans="1:3" x14ac:dyDescent="0.2">
      <c r="A46" t="s">
        <v>10</v>
      </c>
      <c r="B46">
        <v>3</v>
      </c>
      <c r="C46">
        <v>0.39</v>
      </c>
    </row>
    <row r="47" spans="1:3" x14ac:dyDescent="0.2">
      <c r="A47" t="s">
        <v>10</v>
      </c>
      <c r="B47">
        <v>4</v>
      </c>
      <c r="C47">
        <v>0.39</v>
      </c>
    </row>
    <row r="48" spans="1:3" x14ac:dyDescent="0.2">
      <c r="A48" t="s">
        <v>10</v>
      </c>
      <c r="B48">
        <v>5</v>
      </c>
      <c r="C48">
        <v>0.4</v>
      </c>
    </row>
    <row r="49" spans="1:3" x14ac:dyDescent="0.2">
      <c r="A49" t="s">
        <v>10</v>
      </c>
      <c r="B49">
        <v>6</v>
      </c>
      <c r="C49">
        <v>0.4</v>
      </c>
    </row>
    <row r="50" spans="1:3" x14ac:dyDescent="0.2">
      <c r="A50" t="s">
        <v>10</v>
      </c>
      <c r="B50">
        <v>7</v>
      </c>
      <c r="C50">
        <v>0.41</v>
      </c>
    </row>
    <row r="51" spans="1:3" x14ac:dyDescent="0.2">
      <c r="A51" t="s">
        <v>10</v>
      </c>
      <c r="B51">
        <v>8</v>
      </c>
      <c r="C51">
        <v>0.41</v>
      </c>
    </row>
    <row r="52" spans="1:3" x14ac:dyDescent="0.2">
      <c r="A52" t="s">
        <v>9</v>
      </c>
      <c r="B52">
        <v>1</v>
      </c>
      <c r="C52">
        <v>0.38500000000000001</v>
      </c>
    </row>
    <row r="53" spans="1:3" x14ac:dyDescent="0.2">
      <c r="A53" t="s">
        <v>9</v>
      </c>
      <c r="B53">
        <v>2</v>
      </c>
      <c r="C53">
        <v>0.38500000000000001</v>
      </c>
    </row>
    <row r="54" spans="1:3" x14ac:dyDescent="0.2">
      <c r="A54" t="s">
        <v>9</v>
      </c>
      <c r="B54">
        <v>3</v>
      </c>
      <c r="C54">
        <v>0.38500000000000001</v>
      </c>
    </row>
    <row r="55" spans="1:3" x14ac:dyDescent="0.2">
      <c r="A55" t="s">
        <v>9</v>
      </c>
      <c r="B55">
        <v>4</v>
      </c>
      <c r="C55">
        <v>0.38500000000000001</v>
      </c>
    </row>
    <row r="56" spans="1:3" x14ac:dyDescent="0.2">
      <c r="A56" t="s">
        <v>9</v>
      </c>
      <c r="B56">
        <v>5</v>
      </c>
      <c r="C56">
        <v>0.39500000000000002</v>
      </c>
    </row>
    <row r="57" spans="1:3" x14ac:dyDescent="0.2">
      <c r="A57" t="s">
        <v>9</v>
      </c>
      <c r="B57">
        <v>6</v>
      </c>
      <c r="C57">
        <v>0.40500000000000003</v>
      </c>
    </row>
    <row r="58" spans="1:3" x14ac:dyDescent="0.2">
      <c r="A58" t="s">
        <v>9</v>
      </c>
      <c r="B58">
        <v>7</v>
      </c>
      <c r="C58">
        <v>0.41299999999999998</v>
      </c>
    </row>
    <row r="59" spans="1:3" x14ac:dyDescent="0.2">
      <c r="A59" t="s">
        <v>9</v>
      </c>
      <c r="B59">
        <v>8</v>
      </c>
      <c r="C59">
        <v>0.42099999999999999</v>
      </c>
    </row>
    <row r="60" spans="1:3" x14ac:dyDescent="0.2">
      <c r="A60" t="s">
        <v>31</v>
      </c>
      <c r="B60">
        <v>1</v>
      </c>
      <c r="C60">
        <v>0.38</v>
      </c>
    </row>
    <row r="61" spans="1:3" x14ac:dyDescent="0.2">
      <c r="A61" t="s">
        <v>31</v>
      </c>
      <c r="B61">
        <v>2</v>
      </c>
      <c r="C61">
        <v>0.38</v>
      </c>
    </row>
    <row r="62" spans="1:3" x14ac:dyDescent="0.2">
      <c r="A62" t="s">
        <v>31</v>
      </c>
      <c r="B62">
        <v>3</v>
      </c>
      <c r="C62">
        <v>0.42</v>
      </c>
    </row>
    <row r="63" spans="1:3" x14ac:dyDescent="0.2">
      <c r="A63" t="s">
        <v>31</v>
      </c>
      <c r="B63">
        <v>4</v>
      </c>
      <c r="C63">
        <v>0.42</v>
      </c>
    </row>
    <row r="64" spans="1:3" x14ac:dyDescent="0.2">
      <c r="A64" t="s">
        <v>31</v>
      </c>
      <c r="B64">
        <v>5</v>
      </c>
      <c r="C64">
        <v>0.43</v>
      </c>
    </row>
    <row r="65" spans="1:3" x14ac:dyDescent="0.2">
      <c r="A65" t="s">
        <v>31</v>
      </c>
      <c r="B65">
        <v>6</v>
      </c>
      <c r="C65">
        <v>0.43</v>
      </c>
    </row>
    <row r="66" spans="1:3" x14ac:dyDescent="0.2">
      <c r="A66" t="s">
        <v>31</v>
      </c>
      <c r="B66">
        <v>7</v>
      </c>
      <c r="C66">
        <v>0.43</v>
      </c>
    </row>
    <row r="67" spans="1:3" x14ac:dyDescent="0.2">
      <c r="A67" t="s">
        <v>31</v>
      </c>
      <c r="B67">
        <v>8</v>
      </c>
      <c r="C67">
        <v>0.43</v>
      </c>
    </row>
    <row r="68" spans="1:3" x14ac:dyDescent="0.2">
      <c r="A68" t="s">
        <v>12</v>
      </c>
      <c r="B68">
        <v>1</v>
      </c>
      <c r="C68">
        <v>0.56999999999999995</v>
      </c>
    </row>
    <row r="69" spans="1:3" x14ac:dyDescent="0.2">
      <c r="A69" t="s">
        <v>12</v>
      </c>
      <c r="B69">
        <v>2</v>
      </c>
      <c r="C69">
        <v>0.56999999999999995</v>
      </c>
    </row>
    <row r="70" spans="1:3" x14ac:dyDescent="0.2">
      <c r="A70" t="s">
        <v>12</v>
      </c>
      <c r="B70">
        <v>3</v>
      </c>
      <c r="C70">
        <v>0.57999999999999996</v>
      </c>
    </row>
    <row r="71" spans="1:3" x14ac:dyDescent="0.2">
      <c r="A71" t="s">
        <v>12</v>
      </c>
      <c r="B71">
        <v>4</v>
      </c>
      <c r="C71">
        <v>0.57999999999999996</v>
      </c>
    </row>
    <row r="72" spans="1:3" x14ac:dyDescent="0.2">
      <c r="A72" t="s">
        <v>12</v>
      </c>
      <c r="B72">
        <v>5</v>
      </c>
      <c r="C72">
        <v>0.59</v>
      </c>
    </row>
    <row r="73" spans="1:3" x14ac:dyDescent="0.2">
      <c r="A73" t="s">
        <v>12</v>
      </c>
      <c r="B73">
        <v>6</v>
      </c>
      <c r="C73">
        <v>0.59</v>
      </c>
    </row>
    <row r="74" spans="1:3" x14ac:dyDescent="0.2">
      <c r="A74" t="s">
        <v>12</v>
      </c>
      <c r="B74">
        <v>7</v>
      </c>
      <c r="C74">
        <v>0.59</v>
      </c>
    </row>
    <row r="75" spans="1:3" x14ac:dyDescent="0.2">
      <c r="A75" t="s">
        <v>12</v>
      </c>
      <c r="B75">
        <v>8</v>
      </c>
      <c r="C75">
        <v>0.59</v>
      </c>
    </row>
    <row r="76" spans="1:3" x14ac:dyDescent="0.2">
      <c r="A76" t="s">
        <v>14</v>
      </c>
      <c r="B76">
        <v>1</v>
      </c>
      <c r="C76">
        <v>0.43</v>
      </c>
    </row>
    <row r="77" spans="1:3" x14ac:dyDescent="0.2">
      <c r="A77" t="s">
        <v>14</v>
      </c>
      <c r="B77">
        <v>2</v>
      </c>
      <c r="C77">
        <v>0.43</v>
      </c>
    </row>
    <row r="78" spans="1:3" x14ac:dyDescent="0.2">
      <c r="A78" t="s">
        <v>14</v>
      </c>
      <c r="B78">
        <v>3</v>
      </c>
      <c r="C78">
        <v>0.46</v>
      </c>
    </row>
    <row r="79" spans="1:3" x14ac:dyDescent="0.2">
      <c r="A79" t="s">
        <v>14</v>
      </c>
      <c r="B79">
        <v>4</v>
      </c>
      <c r="C79">
        <v>0.46</v>
      </c>
    </row>
    <row r="80" spans="1:3" x14ac:dyDescent="0.2">
      <c r="A80" t="s">
        <v>14</v>
      </c>
      <c r="B80">
        <v>5</v>
      </c>
      <c r="C80">
        <v>0.48</v>
      </c>
    </row>
    <row r="81" spans="1:3" x14ac:dyDescent="0.2">
      <c r="A81" t="s">
        <v>14</v>
      </c>
      <c r="B81">
        <v>6</v>
      </c>
      <c r="C81">
        <v>0.48</v>
      </c>
    </row>
    <row r="82" spans="1:3" x14ac:dyDescent="0.2">
      <c r="A82" t="s">
        <v>14</v>
      </c>
      <c r="B82">
        <v>7</v>
      </c>
      <c r="C82">
        <v>0.49</v>
      </c>
    </row>
    <row r="83" spans="1:3" x14ac:dyDescent="0.2">
      <c r="A83" t="s">
        <v>14</v>
      </c>
      <c r="B83">
        <v>8</v>
      </c>
      <c r="C83">
        <v>0.49</v>
      </c>
    </row>
    <row r="84" spans="1:3" x14ac:dyDescent="0.2">
      <c r="A84" t="s">
        <v>13</v>
      </c>
      <c r="B84">
        <v>1</v>
      </c>
      <c r="C84">
        <v>0.52124999999999999</v>
      </c>
    </row>
    <row r="85" spans="1:3" x14ac:dyDescent="0.2">
      <c r="A85" t="s">
        <v>13</v>
      </c>
      <c r="B85">
        <v>2</v>
      </c>
      <c r="C85">
        <v>0.52124999999999999</v>
      </c>
    </row>
    <row r="86" spans="1:3" x14ac:dyDescent="0.2">
      <c r="A86" t="s">
        <v>13</v>
      </c>
      <c r="B86">
        <v>3</v>
      </c>
      <c r="C86">
        <v>0.52124999999999999</v>
      </c>
    </row>
    <row r="87" spans="1:3" x14ac:dyDescent="0.2">
      <c r="A87" t="s">
        <v>13</v>
      </c>
      <c r="B87">
        <v>4</v>
      </c>
      <c r="C87">
        <v>0.52124999999999999</v>
      </c>
    </row>
    <row r="88" spans="1:3" x14ac:dyDescent="0.2">
      <c r="A88" t="s">
        <v>13</v>
      </c>
      <c r="B88">
        <v>5</v>
      </c>
      <c r="C88">
        <v>0.53800000000000003</v>
      </c>
    </row>
    <row r="89" spans="1:3" x14ac:dyDescent="0.2">
      <c r="A89" t="s">
        <v>13</v>
      </c>
      <c r="B89">
        <v>6</v>
      </c>
      <c r="C89">
        <v>0.55500000000000005</v>
      </c>
    </row>
    <row r="90" spans="1:3" x14ac:dyDescent="0.2">
      <c r="A90" t="s">
        <v>13</v>
      </c>
      <c r="B90">
        <v>7</v>
      </c>
      <c r="C90">
        <v>0.56899999999999995</v>
      </c>
    </row>
    <row r="91" spans="1:3" x14ac:dyDescent="0.2">
      <c r="A91" t="s">
        <v>13</v>
      </c>
      <c r="B91">
        <v>8</v>
      </c>
      <c r="C91">
        <v>0.58399999999999996</v>
      </c>
    </row>
    <row r="92" spans="1:3" x14ac:dyDescent="0.2">
      <c r="A92" t="s">
        <v>32</v>
      </c>
      <c r="B92">
        <v>1</v>
      </c>
      <c r="C92">
        <v>0.48</v>
      </c>
    </row>
    <row r="93" spans="1:3" x14ac:dyDescent="0.2">
      <c r="A93" t="s">
        <v>32</v>
      </c>
      <c r="B93">
        <v>2</v>
      </c>
      <c r="C93">
        <v>0.48899999999999999</v>
      </c>
    </row>
    <row r="94" spans="1:3" x14ac:dyDescent="0.2">
      <c r="A94" t="s">
        <v>32</v>
      </c>
      <c r="B94">
        <v>3</v>
      </c>
      <c r="C94">
        <v>0.498</v>
      </c>
    </row>
    <row r="95" spans="1:3" x14ac:dyDescent="0.2">
      <c r="A95" t="s">
        <v>32</v>
      </c>
      <c r="B95">
        <v>4</v>
      </c>
      <c r="C95">
        <v>0.50600000000000001</v>
      </c>
    </row>
    <row r="96" spans="1:3" x14ac:dyDescent="0.2">
      <c r="A96" t="s">
        <v>32</v>
      </c>
      <c r="B96">
        <v>5</v>
      </c>
      <c r="C96">
        <v>0.51500000000000001</v>
      </c>
    </row>
    <row r="97" spans="1:3" x14ac:dyDescent="0.2">
      <c r="A97" t="s">
        <v>32</v>
      </c>
      <c r="B97">
        <v>6</v>
      </c>
      <c r="C97">
        <v>0.52400000000000002</v>
      </c>
    </row>
    <row r="98" spans="1:3" x14ac:dyDescent="0.2">
      <c r="A98" t="s">
        <v>32</v>
      </c>
      <c r="B98">
        <v>7</v>
      </c>
      <c r="C98">
        <v>0.53300000000000003</v>
      </c>
    </row>
    <row r="99" spans="1:3" x14ac:dyDescent="0.2">
      <c r="A99" t="s">
        <v>32</v>
      </c>
      <c r="B99">
        <v>8</v>
      </c>
      <c r="C99">
        <v>0.54100000000000004</v>
      </c>
    </row>
    <row r="100" spans="1:3" x14ac:dyDescent="0.2">
      <c r="A100" t="s">
        <v>11</v>
      </c>
      <c r="B100">
        <v>1</v>
      </c>
      <c r="C100">
        <v>0.4</v>
      </c>
    </row>
    <row r="101" spans="1:3" x14ac:dyDescent="0.2">
      <c r="A101" t="s">
        <v>11</v>
      </c>
      <c r="B101">
        <v>2</v>
      </c>
      <c r="C101">
        <v>0.40300000000000002</v>
      </c>
    </row>
    <row r="102" spans="1:3" x14ac:dyDescent="0.2">
      <c r="A102" t="s">
        <v>11</v>
      </c>
      <c r="B102">
        <v>3</v>
      </c>
      <c r="C102">
        <v>0.40500000000000003</v>
      </c>
    </row>
    <row r="103" spans="1:3" x14ac:dyDescent="0.2">
      <c r="A103" t="s">
        <v>11</v>
      </c>
      <c r="B103">
        <v>4</v>
      </c>
      <c r="C103">
        <v>0.40799999999999997</v>
      </c>
    </row>
    <row r="104" spans="1:3" x14ac:dyDescent="0.2">
      <c r="A104" t="s">
        <v>11</v>
      </c>
      <c r="B104">
        <v>5</v>
      </c>
      <c r="C104">
        <v>0.41</v>
      </c>
    </row>
    <row r="105" spans="1:3" x14ac:dyDescent="0.2">
      <c r="A105" t="s">
        <v>11</v>
      </c>
      <c r="B105">
        <v>6</v>
      </c>
      <c r="C105">
        <v>0.41299999999999998</v>
      </c>
    </row>
    <row r="106" spans="1:3" x14ac:dyDescent="0.2">
      <c r="A106" t="s">
        <v>11</v>
      </c>
      <c r="B106">
        <v>7</v>
      </c>
      <c r="C106">
        <v>0.41499999999999998</v>
      </c>
    </row>
    <row r="107" spans="1:3" x14ac:dyDescent="0.2">
      <c r="A107" t="s">
        <v>11</v>
      </c>
      <c r="B107">
        <v>8</v>
      </c>
      <c r="C107">
        <v>0.41799999999999998</v>
      </c>
    </row>
    <row r="108" spans="1:3" x14ac:dyDescent="0.2">
      <c r="A108" t="s">
        <v>19</v>
      </c>
      <c r="B108">
        <v>1</v>
      </c>
      <c r="C108">
        <v>0.1</v>
      </c>
    </row>
    <row r="109" spans="1:3" x14ac:dyDescent="0.2">
      <c r="A109" t="s">
        <v>19</v>
      </c>
      <c r="B109">
        <v>2</v>
      </c>
      <c r="C109">
        <v>0.1</v>
      </c>
    </row>
    <row r="110" spans="1:3" x14ac:dyDescent="0.2">
      <c r="A110" t="s">
        <v>19</v>
      </c>
      <c r="B110">
        <v>3</v>
      </c>
      <c r="C110">
        <v>0.1</v>
      </c>
    </row>
    <row r="111" spans="1:3" x14ac:dyDescent="0.2">
      <c r="A111" t="s">
        <v>19</v>
      </c>
      <c r="B111">
        <v>4</v>
      </c>
      <c r="C111">
        <v>0.1</v>
      </c>
    </row>
    <row r="112" spans="1:3" x14ac:dyDescent="0.2">
      <c r="A112" t="s">
        <v>19</v>
      </c>
      <c r="B112">
        <v>5</v>
      </c>
      <c r="C112">
        <v>0.1</v>
      </c>
    </row>
    <row r="113" spans="1:3" x14ac:dyDescent="0.2">
      <c r="A113" t="s">
        <v>19</v>
      </c>
      <c r="B113">
        <v>6</v>
      </c>
      <c r="C113">
        <v>0.1</v>
      </c>
    </row>
    <row r="114" spans="1:3" x14ac:dyDescent="0.2">
      <c r="A114" t="s">
        <v>19</v>
      </c>
      <c r="B114">
        <v>7</v>
      </c>
      <c r="C114">
        <v>0.1</v>
      </c>
    </row>
    <row r="115" spans="1:3" x14ac:dyDescent="0.2">
      <c r="A115" t="s">
        <v>19</v>
      </c>
      <c r="B115">
        <v>8</v>
      </c>
      <c r="C115">
        <v>0.1</v>
      </c>
    </row>
    <row r="116" spans="1:3" x14ac:dyDescent="0.2">
      <c r="A116" t="s">
        <v>20</v>
      </c>
      <c r="B116">
        <v>1</v>
      </c>
      <c r="C116">
        <v>1</v>
      </c>
    </row>
    <row r="117" spans="1:3" x14ac:dyDescent="0.2">
      <c r="A117" t="s">
        <v>20</v>
      </c>
      <c r="B117">
        <v>2</v>
      </c>
      <c r="C117">
        <v>1</v>
      </c>
    </row>
    <row r="118" spans="1:3" x14ac:dyDescent="0.2">
      <c r="A118" t="s">
        <v>20</v>
      </c>
      <c r="B118">
        <v>3</v>
      </c>
      <c r="C118">
        <v>1</v>
      </c>
    </row>
    <row r="119" spans="1:3" x14ac:dyDescent="0.2">
      <c r="A119" t="s">
        <v>20</v>
      </c>
      <c r="B119">
        <v>4</v>
      </c>
      <c r="C119">
        <v>1</v>
      </c>
    </row>
    <row r="120" spans="1:3" x14ac:dyDescent="0.2">
      <c r="A120" t="s">
        <v>20</v>
      </c>
      <c r="B120">
        <v>5</v>
      </c>
      <c r="C120">
        <v>1</v>
      </c>
    </row>
    <row r="121" spans="1:3" x14ac:dyDescent="0.2">
      <c r="A121" t="s">
        <v>20</v>
      </c>
      <c r="B121">
        <v>6</v>
      </c>
      <c r="C121">
        <v>1</v>
      </c>
    </row>
    <row r="122" spans="1:3" x14ac:dyDescent="0.2">
      <c r="A122" t="s">
        <v>20</v>
      </c>
      <c r="B122">
        <v>7</v>
      </c>
      <c r="C122">
        <v>1</v>
      </c>
    </row>
    <row r="123" spans="1:3" x14ac:dyDescent="0.2">
      <c r="A123" t="s">
        <v>20</v>
      </c>
      <c r="B123">
        <v>8</v>
      </c>
      <c r="C123">
        <v>1</v>
      </c>
    </row>
    <row r="124" spans="1:3" x14ac:dyDescent="0.2">
      <c r="A124" t="s">
        <v>21</v>
      </c>
      <c r="B124">
        <v>1</v>
      </c>
      <c r="C124">
        <v>1</v>
      </c>
    </row>
    <row r="125" spans="1:3" x14ac:dyDescent="0.2">
      <c r="A125" t="s">
        <v>21</v>
      </c>
      <c r="B125">
        <v>2</v>
      </c>
      <c r="C125">
        <v>1</v>
      </c>
    </row>
    <row r="126" spans="1:3" x14ac:dyDescent="0.2">
      <c r="A126" t="s">
        <v>21</v>
      </c>
      <c r="B126">
        <v>3</v>
      </c>
      <c r="C126">
        <v>1</v>
      </c>
    </row>
    <row r="127" spans="1:3" x14ac:dyDescent="0.2">
      <c r="A127" t="s">
        <v>21</v>
      </c>
      <c r="B127">
        <v>4</v>
      </c>
      <c r="C127">
        <v>1</v>
      </c>
    </row>
    <row r="128" spans="1:3" x14ac:dyDescent="0.2">
      <c r="A128" t="s">
        <v>21</v>
      </c>
      <c r="B128">
        <v>5</v>
      </c>
      <c r="C128">
        <v>1</v>
      </c>
    </row>
    <row r="129" spans="1:3" x14ac:dyDescent="0.2">
      <c r="A129" t="s">
        <v>21</v>
      </c>
      <c r="B129">
        <v>6</v>
      </c>
      <c r="C129">
        <v>1</v>
      </c>
    </row>
    <row r="130" spans="1:3" x14ac:dyDescent="0.2">
      <c r="A130" t="s">
        <v>21</v>
      </c>
      <c r="B130">
        <v>7</v>
      </c>
      <c r="C130">
        <v>1</v>
      </c>
    </row>
    <row r="131" spans="1:3" x14ac:dyDescent="0.2">
      <c r="A131" t="s">
        <v>21</v>
      </c>
      <c r="B131">
        <v>8</v>
      </c>
      <c r="C131">
        <v>1</v>
      </c>
    </row>
    <row r="132" spans="1:3" x14ac:dyDescent="0.2">
      <c r="A132" t="s">
        <v>30</v>
      </c>
      <c r="B132">
        <v>1</v>
      </c>
      <c r="C132">
        <v>0.35144176273493399</v>
      </c>
    </row>
    <row r="133" spans="1:3" x14ac:dyDescent="0.2">
      <c r="A133" t="s">
        <v>30</v>
      </c>
      <c r="B133">
        <v>2</v>
      </c>
      <c r="C133">
        <v>0.35355220341866744</v>
      </c>
    </row>
    <row r="134" spans="1:3" x14ac:dyDescent="0.2">
      <c r="A134" t="s">
        <v>30</v>
      </c>
      <c r="B134">
        <v>3</v>
      </c>
      <c r="C134">
        <v>0.35566264410240084</v>
      </c>
    </row>
    <row r="135" spans="1:3" x14ac:dyDescent="0.2">
      <c r="A135" t="s">
        <v>30</v>
      </c>
      <c r="B135">
        <v>4</v>
      </c>
      <c r="C135">
        <v>0.35777308478613423</v>
      </c>
    </row>
    <row r="136" spans="1:3" x14ac:dyDescent="0.2">
      <c r="A136" t="s">
        <v>30</v>
      </c>
      <c r="B136">
        <v>5</v>
      </c>
      <c r="C136">
        <v>0.35988352546986768</v>
      </c>
    </row>
    <row r="137" spans="1:3" x14ac:dyDescent="0.2">
      <c r="A137" t="s">
        <v>30</v>
      </c>
      <c r="B137">
        <v>6</v>
      </c>
      <c r="C137">
        <v>0.36199396615360113</v>
      </c>
    </row>
    <row r="138" spans="1:3" x14ac:dyDescent="0.2">
      <c r="A138" t="s">
        <v>30</v>
      </c>
      <c r="B138">
        <v>7</v>
      </c>
      <c r="C138">
        <v>0.36410440683733453</v>
      </c>
    </row>
    <row r="139" spans="1:3" x14ac:dyDescent="0.2">
      <c r="A139" t="s">
        <v>30</v>
      </c>
      <c r="B139">
        <v>8</v>
      </c>
      <c r="C139">
        <v>0.36621484752106792</v>
      </c>
    </row>
    <row r="140" spans="1:3" x14ac:dyDescent="0.2">
      <c r="A140" t="s">
        <v>5</v>
      </c>
      <c r="B140">
        <v>1</v>
      </c>
      <c r="C140">
        <v>0.37</v>
      </c>
    </row>
    <row r="141" spans="1:3" x14ac:dyDescent="0.2">
      <c r="A141" t="s">
        <v>5</v>
      </c>
      <c r="B141">
        <v>2</v>
      </c>
      <c r="C141">
        <v>0.37</v>
      </c>
    </row>
    <row r="142" spans="1:3" x14ac:dyDescent="0.2">
      <c r="A142" t="s">
        <v>5</v>
      </c>
      <c r="B142">
        <v>3</v>
      </c>
      <c r="C142">
        <v>0.38</v>
      </c>
    </row>
    <row r="143" spans="1:3" x14ac:dyDescent="0.2">
      <c r="A143" t="s">
        <v>5</v>
      </c>
      <c r="B143">
        <v>4</v>
      </c>
      <c r="C143">
        <v>0.38</v>
      </c>
    </row>
    <row r="144" spans="1:3" x14ac:dyDescent="0.2">
      <c r="A144" t="s">
        <v>5</v>
      </c>
      <c r="B144">
        <v>5</v>
      </c>
      <c r="C144">
        <v>0.37</v>
      </c>
    </row>
    <row r="145" spans="1:3" x14ac:dyDescent="0.2">
      <c r="A145" t="s">
        <v>5</v>
      </c>
      <c r="B145">
        <v>6</v>
      </c>
      <c r="C145">
        <v>0.37</v>
      </c>
    </row>
    <row r="146" spans="1:3" x14ac:dyDescent="0.2">
      <c r="A146" t="s">
        <v>5</v>
      </c>
      <c r="B146">
        <v>7</v>
      </c>
      <c r="C146">
        <v>0.37</v>
      </c>
    </row>
    <row r="147" spans="1:3" x14ac:dyDescent="0.2">
      <c r="A147" t="s">
        <v>5</v>
      </c>
      <c r="B147">
        <v>8</v>
      </c>
      <c r="C147">
        <v>0.37</v>
      </c>
    </row>
    <row r="148" spans="1:3" x14ac:dyDescent="0.2">
      <c r="A148" t="s">
        <v>6</v>
      </c>
      <c r="B148">
        <v>1</v>
      </c>
      <c r="C148">
        <v>0.373</v>
      </c>
    </row>
    <row r="149" spans="1:3" x14ac:dyDescent="0.2">
      <c r="A149" t="s">
        <v>6</v>
      </c>
      <c r="B149">
        <v>2</v>
      </c>
      <c r="C149">
        <v>0.373</v>
      </c>
    </row>
    <row r="150" spans="1:3" x14ac:dyDescent="0.2">
      <c r="A150" t="s">
        <v>6</v>
      </c>
      <c r="B150">
        <v>3</v>
      </c>
      <c r="C150">
        <v>0.373</v>
      </c>
    </row>
    <row r="151" spans="1:3" x14ac:dyDescent="0.2">
      <c r="A151" t="s">
        <v>6</v>
      </c>
      <c r="B151">
        <v>4</v>
      </c>
      <c r="C151">
        <v>0.373</v>
      </c>
    </row>
    <row r="152" spans="1:3" x14ac:dyDescent="0.2">
      <c r="A152" t="s">
        <v>6</v>
      </c>
      <c r="B152">
        <v>5</v>
      </c>
      <c r="C152">
        <v>0.38500000000000001</v>
      </c>
    </row>
    <row r="153" spans="1:3" x14ac:dyDescent="0.2">
      <c r="A153" t="s">
        <v>6</v>
      </c>
      <c r="B153">
        <v>6</v>
      </c>
      <c r="C153">
        <v>0.39800000000000002</v>
      </c>
    </row>
    <row r="154" spans="1:3" x14ac:dyDescent="0.2">
      <c r="A154" t="s">
        <v>6</v>
      </c>
      <c r="B154">
        <v>7</v>
      </c>
      <c r="C154">
        <v>0.40799999999999997</v>
      </c>
    </row>
    <row r="155" spans="1:3" x14ac:dyDescent="0.2">
      <c r="A155" t="s">
        <v>6</v>
      </c>
      <c r="B155">
        <v>8</v>
      </c>
      <c r="C155">
        <v>0.41899999999999998</v>
      </c>
    </row>
    <row r="156" spans="1:3" x14ac:dyDescent="0.2">
      <c r="A156" t="s">
        <v>7</v>
      </c>
      <c r="B156">
        <v>1</v>
      </c>
      <c r="C156">
        <v>0.32</v>
      </c>
    </row>
    <row r="157" spans="1:3" x14ac:dyDescent="0.2">
      <c r="A157" t="s">
        <v>7</v>
      </c>
      <c r="B157">
        <v>2</v>
      </c>
      <c r="C157">
        <v>0.32</v>
      </c>
    </row>
    <row r="158" spans="1:3" x14ac:dyDescent="0.2">
      <c r="A158" t="s">
        <v>7</v>
      </c>
      <c r="B158">
        <v>3</v>
      </c>
      <c r="C158">
        <v>0.32</v>
      </c>
    </row>
    <row r="159" spans="1:3" x14ac:dyDescent="0.2">
      <c r="A159" t="s">
        <v>7</v>
      </c>
      <c r="B159">
        <v>4</v>
      </c>
      <c r="C159">
        <v>0.32</v>
      </c>
    </row>
    <row r="160" spans="1:3" x14ac:dyDescent="0.2">
      <c r="A160" t="s">
        <v>7</v>
      </c>
      <c r="B160">
        <v>5</v>
      </c>
      <c r="C160">
        <v>0.32</v>
      </c>
    </row>
    <row r="161" spans="1:3" x14ac:dyDescent="0.2">
      <c r="A161" t="s">
        <v>7</v>
      </c>
      <c r="B161">
        <v>6</v>
      </c>
      <c r="C161">
        <v>0.32</v>
      </c>
    </row>
    <row r="162" spans="1:3" x14ac:dyDescent="0.2">
      <c r="A162" t="s">
        <v>7</v>
      </c>
      <c r="B162">
        <v>7</v>
      </c>
      <c r="C162">
        <v>0.32</v>
      </c>
    </row>
    <row r="163" spans="1:3" x14ac:dyDescent="0.2">
      <c r="A163" t="s">
        <v>7</v>
      </c>
      <c r="B163">
        <v>8</v>
      </c>
      <c r="C163">
        <v>0.32</v>
      </c>
    </row>
    <row r="164" spans="1:3" x14ac:dyDescent="0.2">
      <c r="A164" t="s">
        <v>17</v>
      </c>
      <c r="B164">
        <v>1</v>
      </c>
      <c r="C164">
        <v>0.38</v>
      </c>
    </row>
    <row r="165" spans="1:3" x14ac:dyDescent="0.2">
      <c r="A165" t="s">
        <v>17</v>
      </c>
      <c r="B165">
        <v>2</v>
      </c>
      <c r="C165">
        <v>0.38</v>
      </c>
    </row>
    <row r="166" spans="1:3" x14ac:dyDescent="0.2">
      <c r="A166" t="s">
        <v>17</v>
      </c>
      <c r="B166">
        <v>3</v>
      </c>
      <c r="C166">
        <v>0.38</v>
      </c>
    </row>
    <row r="167" spans="1:3" x14ac:dyDescent="0.2">
      <c r="A167" t="s">
        <v>17</v>
      </c>
      <c r="B167">
        <v>4</v>
      </c>
      <c r="C167">
        <v>0.38</v>
      </c>
    </row>
    <row r="168" spans="1:3" x14ac:dyDescent="0.2">
      <c r="A168" t="s">
        <v>17</v>
      </c>
      <c r="B168">
        <v>5</v>
      </c>
      <c r="C168">
        <v>0.38</v>
      </c>
    </row>
    <row r="169" spans="1:3" x14ac:dyDescent="0.2">
      <c r="A169" t="s">
        <v>17</v>
      </c>
      <c r="B169">
        <v>6</v>
      </c>
      <c r="C169">
        <v>0.38</v>
      </c>
    </row>
    <row r="170" spans="1:3" x14ac:dyDescent="0.2">
      <c r="A170" t="s">
        <v>17</v>
      </c>
      <c r="B170">
        <v>7</v>
      </c>
      <c r="C170">
        <v>0.38</v>
      </c>
    </row>
    <row r="171" spans="1:3" x14ac:dyDescent="0.2">
      <c r="A171" t="s">
        <v>17</v>
      </c>
      <c r="B171">
        <v>8</v>
      </c>
      <c r="C171">
        <v>0.38</v>
      </c>
    </row>
    <row r="172" spans="1:3" x14ac:dyDescent="0.2">
      <c r="A172" t="s">
        <v>33</v>
      </c>
      <c r="B172">
        <v>1</v>
      </c>
      <c r="C172">
        <v>0.376</v>
      </c>
    </row>
    <row r="173" spans="1:3" x14ac:dyDescent="0.2">
      <c r="A173" t="s">
        <v>33</v>
      </c>
      <c r="B173">
        <v>2</v>
      </c>
      <c r="C173">
        <v>0.376</v>
      </c>
    </row>
    <row r="174" spans="1:3" x14ac:dyDescent="0.2">
      <c r="A174" t="s">
        <v>33</v>
      </c>
      <c r="B174">
        <v>3</v>
      </c>
      <c r="C174">
        <v>0.376</v>
      </c>
    </row>
    <row r="175" spans="1:3" x14ac:dyDescent="0.2">
      <c r="A175" t="s">
        <v>33</v>
      </c>
      <c r="B175">
        <v>4</v>
      </c>
      <c r="C175">
        <v>0.376</v>
      </c>
    </row>
    <row r="176" spans="1:3" x14ac:dyDescent="0.2">
      <c r="A176" t="s">
        <v>33</v>
      </c>
      <c r="B176">
        <v>5</v>
      </c>
      <c r="C176">
        <v>0.376</v>
      </c>
    </row>
    <row r="177" spans="1:3" x14ac:dyDescent="0.2">
      <c r="A177" t="s">
        <v>33</v>
      </c>
      <c r="B177">
        <v>6</v>
      </c>
      <c r="C177">
        <v>0.376</v>
      </c>
    </row>
    <row r="178" spans="1:3" x14ac:dyDescent="0.2">
      <c r="A178" t="s">
        <v>33</v>
      </c>
      <c r="B178">
        <v>7</v>
      </c>
      <c r="C178">
        <v>0.376</v>
      </c>
    </row>
    <row r="179" spans="1:3" x14ac:dyDescent="0.2">
      <c r="A179" t="s">
        <v>33</v>
      </c>
      <c r="B179">
        <v>8</v>
      </c>
      <c r="C179">
        <v>0.376</v>
      </c>
    </row>
    <row r="180" spans="1:3" x14ac:dyDescent="0.2">
      <c r="A180" t="s">
        <v>24</v>
      </c>
      <c r="B180">
        <v>1</v>
      </c>
      <c r="C180">
        <v>1</v>
      </c>
    </row>
    <row r="181" spans="1:3" x14ac:dyDescent="0.2">
      <c r="A181" t="s">
        <v>24</v>
      </c>
      <c r="B181">
        <v>2</v>
      </c>
      <c r="C181">
        <v>1</v>
      </c>
    </row>
    <row r="182" spans="1:3" x14ac:dyDescent="0.2">
      <c r="A182" t="s">
        <v>24</v>
      </c>
      <c r="B182">
        <v>3</v>
      </c>
      <c r="C182">
        <v>1</v>
      </c>
    </row>
    <row r="183" spans="1:3" x14ac:dyDescent="0.2">
      <c r="A183" t="s">
        <v>24</v>
      </c>
      <c r="B183">
        <v>4</v>
      </c>
      <c r="C183">
        <v>1</v>
      </c>
    </row>
    <row r="184" spans="1:3" x14ac:dyDescent="0.2">
      <c r="A184" t="s">
        <v>24</v>
      </c>
      <c r="B184">
        <v>5</v>
      </c>
      <c r="C184">
        <v>1</v>
      </c>
    </row>
    <row r="185" spans="1:3" x14ac:dyDescent="0.2">
      <c r="A185" t="s">
        <v>24</v>
      </c>
      <c r="B185">
        <v>6</v>
      </c>
      <c r="C185">
        <v>1</v>
      </c>
    </row>
    <row r="186" spans="1:3" x14ac:dyDescent="0.2">
      <c r="A186" t="s">
        <v>24</v>
      </c>
      <c r="B186">
        <v>7</v>
      </c>
      <c r="C186">
        <v>1</v>
      </c>
    </row>
    <row r="187" spans="1:3" x14ac:dyDescent="0.2">
      <c r="A187" t="s">
        <v>24</v>
      </c>
      <c r="B187">
        <v>8</v>
      </c>
      <c r="C187">
        <v>1</v>
      </c>
    </row>
    <row r="188" spans="1:3" x14ac:dyDescent="0.2">
      <c r="A188" t="s">
        <v>18</v>
      </c>
      <c r="B188">
        <v>1</v>
      </c>
      <c r="C188">
        <v>1</v>
      </c>
    </row>
    <row r="189" spans="1:3" x14ac:dyDescent="0.2">
      <c r="A189" t="s">
        <v>18</v>
      </c>
      <c r="B189">
        <v>2</v>
      </c>
      <c r="C189">
        <v>1</v>
      </c>
    </row>
    <row r="190" spans="1:3" x14ac:dyDescent="0.2">
      <c r="A190" t="s">
        <v>18</v>
      </c>
      <c r="B190">
        <v>3</v>
      </c>
      <c r="C190">
        <v>1</v>
      </c>
    </row>
    <row r="191" spans="1:3" x14ac:dyDescent="0.2">
      <c r="A191" t="s">
        <v>18</v>
      </c>
      <c r="B191">
        <v>4</v>
      </c>
      <c r="C191">
        <v>1</v>
      </c>
    </row>
    <row r="192" spans="1:3" x14ac:dyDescent="0.2">
      <c r="A192" t="s">
        <v>18</v>
      </c>
      <c r="B192">
        <v>5</v>
      </c>
      <c r="C192">
        <v>1</v>
      </c>
    </row>
    <row r="193" spans="1:3" x14ac:dyDescent="0.2">
      <c r="A193" t="s">
        <v>18</v>
      </c>
      <c r="B193">
        <v>6</v>
      </c>
      <c r="C193">
        <v>1</v>
      </c>
    </row>
    <row r="194" spans="1:3" x14ac:dyDescent="0.2">
      <c r="A194" t="s">
        <v>18</v>
      </c>
      <c r="B194">
        <v>7</v>
      </c>
      <c r="C194">
        <v>1</v>
      </c>
    </row>
    <row r="195" spans="1:3" x14ac:dyDescent="0.2">
      <c r="A195" t="s">
        <v>18</v>
      </c>
      <c r="B195">
        <v>8</v>
      </c>
      <c r="C195">
        <v>1</v>
      </c>
    </row>
    <row r="196" spans="1:3" x14ac:dyDescent="0.2">
      <c r="A196" t="s">
        <v>88</v>
      </c>
      <c r="B196">
        <v>1</v>
      </c>
      <c r="C196">
        <v>1</v>
      </c>
    </row>
    <row r="197" spans="1:3" x14ac:dyDescent="0.2">
      <c r="A197" t="s">
        <v>88</v>
      </c>
      <c r="B197">
        <v>2</v>
      </c>
      <c r="C197">
        <v>1</v>
      </c>
    </row>
    <row r="198" spans="1:3" x14ac:dyDescent="0.2">
      <c r="A198" t="s">
        <v>88</v>
      </c>
      <c r="B198">
        <v>3</v>
      </c>
      <c r="C198">
        <v>1</v>
      </c>
    </row>
    <row r="199" spans="1:3" x14ac:dyDescent="0.2">
      <c r="A199" t="s">
        <v>88</v>
      </c>
      <c r="B199">
        <v>4</v>
      </c>
      <c r="C199">
        <v>1</v>
      </c>
    </row>
    <row r="200" spans="1:3" x14ac:dyDescent="0.2">
      <c r="A200" t="s">
        <v>88</v>
      </c>
      <c r="B200">
        <v>5</v>
      </c>
      <c r="C200">
        <v>1</v>
      </c>
    </row>
    <row r="201" spans="1:3" x14ac:dyDescent="0.2">
      <c r="A201" t="s">
        <v>88</v>
      </c>
      <c r="B201">
        <v>6</v>
      </c>
      <c r="C201">
        <v>1</v>
      </c>
    </row>
    <row r="202" spans="1:3" x14ac:dyDescent="0.2">
      <c r="A202" t="s">
        <v>88</v>
      </c>
      <c r="B202">
        <v>7</v>
      </c>
      <c r="C202">
        <v>1</v>
      </c>
    </row>
    <row r="203" spans="1:3" x14ac:dyDescent="0.2">
      <c r="A203" t="s">
        <v>88</v>
      </c>
      <c r="B203">
        <v>8</v>
      </c>
      <c r="C203">
        <v>1</v>
      </c>
    </row>
    <row r="204" spans="1:3" x14ac:dyDescent="0.2">
      <c r="A204" t="s">
        <v>23</v>
      </c>
      <c r="B204">
        <v>1</v>
      </c>
      <c r="C204">
        <v>1</v>
      </c>
    </row>
    <row r="205" spans="1:3" x14ac:dyDescent="0.2">
      <c r="A205" t="s">
        <v>23</v>
      </c>
      <c r="B205">
        <v>2</v>
      </c>
      <c r="C205">
        <v>1</v>
      </c>
    </row>
    <row r="206" spans="1:3" x14ac:dyDescent="0.2">
      <c r="A206" t="s">
        <v>23</v>
      </c>
      <c r="B206">
        <v>3</v>
      </c>
      <c r="C206">
        <v>1</v>
      </c>
    </row>
    <row r="207" spans="1:3" x14ac:dyDescent="0.2">
      <c r="A207" t="s">
        <v>23</v>
      </c>
      <c r="B207">
        <v>4</v>
      </c>
      <c r="C207">
        <v>1</v>
      </c>
    </row>
    <row r="208" spans="1:3" x14ac:dyDescent="0.2">
      <c r="A208" t="s">
        <v>23</v>
      </c>
      <c r="B208">
        <v>5</v>
      </c>
      <c r="C208">
        <v>1</v>
      </c>
    </row>
    <row r="209" spans="1:3" x14ac:dyDescent="0.2">
      <c r="A209" t="s">
        <v>23</v>
      </c>
      <c r="B209">
        <v>6</v>
      </c>
      <c r="C209">
        <v>1</v>
      </c>
    </row>
    <row r="210" spans="1:3" x14ac:dyDescent="0.2">
      <c r="A210" t="s">
        <v>23</v>
      </c>
      <c r="B210">
        <v>7</v>
      </c>
      <c r="C210">
        <v>1</v>
      </c>
    </row>
    <row r="211" spans="1:3" x14ac:dyDescent="0.2">
      <c r="A211" t="s">
        <v>23</v>
      </c>
      <c r="B211">
        <v>8</v>
      </c>
      <c r="C211">
        <v>1</v>
      </c>
    </row>
    <row r="212" spans="1:3" x14ac:dyDescent="0.2">
      <c r="A212" t="s">
        <v>25</v>
      </c>
      <c r="B212">
        <v>1</v>
      </c>
      <c r="C212">
        <v>0.33</v>
      </c>
    </row>
    <row r="213" spans="1:3" x14ac:dyDescent="0.2">
      <c r="A213" t="s">
        <v>25</v>
      </c>
      <c r="B213">
        <v>2</v>
      </c>
      <c r="C213">
        <v>0.33</v>
      </c>
    </row>
    <row r="214" spans="1:3" x14ac:dyDescent="0.2">
      <c r="A214" t="s">
        <v>25</v>
      </c>
      <c r="B214">
        <v>3</v>
      </c>
      <c r="C214">
        <v>0.34</v>
      </c>
    </row>
    <row r="215" spans="1:3" x14ac:dyDescent="0.2">
      <c r="A215" t="s">
        <v>25</v>
      </c>
      <c r="B215">
        <v>4</v>
      </c>
      <c r="C215">
        <v>0.34</v>
      </c>
    </row>
    <row r="216" spans="1:3" x14ac:dyDescent="0.2">
      <c r="A216" t="s">
        <v>25</v>
      </c>
      <c r="B216">
        <v>5</v>
      </c>
      <c r="C216">
        <v>0.34</v>
      </c>
    </row>
    <row r="217" spans="1:3" x14ac:dyDescent="0.2">
      <c r="A217" t="s">
        <v>25</v>
      </c>
      <c r="B217">
        <v>6</v>
      </c>
      <c r="C217">
        <v>0.34</v>
      </c>
    </row>
    <row r="218" spans="1:3" x14ac:dyDescent="0.2">
      <c r="A218" t="s">
        <v>25</v>
      </c>
      <c r="B218">
        <v>7</v>
      </c>
      <c r="C218">
        <v>0.34</v>
      </c>
    </row>
    <row r="219" spans="1:3" x14ac:dyDescent="0.2">
      <c r="A219" t="s">
        <v>25</v>
      </c>
      <c r="B219">
        <v>8</v>
      </c>
      <c r="C219">
        <v>0.34</v>
      </c>
    </row>
    <row r="220" spans="1:3" x14ac:dyDescent="0.2">
      <c r="A220" t="s">
        <v>89</v>
      </c>
      <c r="B220">
        <v>1</v>
      </c>
      <c r="C220">
        <v>1</v>
      </c>
    </row>
    <row r="221" spans="1:3" x14ac:dyDescent="0.2">
      <c r="A221" t="s">
        <v>89</v>
      </c>
      <c r="B221">
        <v>2</v>
      </c>
      <c r="C221">
        <v>1</v>
      </c>
    </row>
    <row r="222" spans="1:3" x14ac:dyDescent="0.2">
      <c r="A222" t="s">
        <v>89</v>
      </c>
      <c r="B222">
        <v>3</v>
      </c>
      <c r="C222">
        <v>1</v>
      </c>
    </row>
    <row r="223" spans="1:3" x14ac:dyDescent="0.2">
      <c r="A223" t="s">
        <v>89</v>
      </c>
      <c r="B223">
        <v>4</v>
      </c>
      <c r="C223">
        <v>1</v>
      </c>
    </row>
    <row r="224" spans="1:3" x14ac:dyDescent="0.2">
      <c r="A224" t="s">
        <v>89</v>
      </c>
      <c r="B224">
        <v>5</v>
      </c>
      <c r="C224">
        <v>1</v>
      </c>
    </row>
    <row r="225" spans="1:3" x14ac:dyDescent="0.2">
      <c r="A225" t="s">
        <v>89</v>
      </c>
      <c r="B225">
        <v>6</v>
      </c>
      <c r="C225">
        <v>1</v>
      </c>
    </row>
    <row r="226" spans="1:3" x14ac:dyDescent="0.2">
      <c r="A226" t="s">
        <v>89</v>
      </c>
      <c r="B226">
        <v>7</v>
      </c>
      <c r="C226">
        <v>1</v>
      </c>
    </row>
    <row r="227" spans="1:3" x14ac:dyDescent="0.2">
      <c r="A227" t="s">
        <v>89</v>
      </c>
      <c r="B227">
        <v>8</v>
      </c>
      <c r="C227">
        <v>1</v>
      </c>
    </row>
  </sheetData>
  <autoFilter ref="A2:C219" xr:uid="{BB805D41-E1AF-43B0-AE28-2A83EE5106E2}">
    <sortState xmlns:xlrd2="http://schemas.microsoft.com/office/spreadsheetml/2017/richdata2" ref="A3:C211">
      <sortCondition ref="A2:A211"/>
    </sortState>
  </autoFilter>
  <sortState xmlns:xlrd2="http://schemas.microsoft.com/office/spreadsheetml/2017/richdata2" ref="A6:C211">
    <sortCondition ref="A6:A211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00BD-A778-40FF-A8F9-47E40AF2D6E4}">
  <dimension ref="A1:F38"/>
  <sheetViews>
    <sheetView workbookViewId="0">
      <selection activeCell="A44" sqref="A44"/>
    </sheetView>
  </sheetViews>
  <sheetFormatPr baseColWidth="10" defaultColWidth="13.5" defaultRowHeight="15" x14ac:dyDescent="0.2"/>
  <cols>
    <col min="1" max="1" width="38.5" customWidth="1"/>
    <col min="2" max="2" width="23.1640625" bestFit="1" customWidth="1"/>
    <col min="3" max="3" width="37.6640625" style="15" bestFit="1" customWidth="1"/>
  </cols>
  <sheetData>
    <row r="1" spans="1:6" x14ac:dyDescent="0.2">
      <c r="A1" t="s">
        <v>91</v>
      </c>
    </row>
    <row r="2" spans="1:6" x14ac:dyDescent="0.2">
      <c r="A2" t="s">
        <v>44</v>
      </c>
      <c r="C2"/>
    </row>
    <row r="3" spans="1:6" x14ac:dyDescent="0.2">
      <c r="A3" t="s">
        <v>45</v>
      </c>
      <c r="B3" t="s">
        <v>2</v>
      </c>
      <c r="C3" t="s">
        <v>46</v>
      </c>
      <c r="E3" s="19"/>
      <c r="F3" t="s">
        <v>90</v>
      </c>
    </row>
    <row r="4" spans="1:6" x14ac:dyDescent="0.2">
      <c r="A4" t="s">
        <v>47</v>
      </c>
      <c r="B4" t="s">
        <v>30</v>
      </c>
      <c r="C4" s="15">
        <v>19106</v>
      </c>
      <c r="E4" s="16"/>
    </row>
    <row r="5" spans="1:6" x14ac:dyDescent="0.2">
      <c r="A5" t="s">
        <v>47</v>
      </c>
      <c r="B5" t="s">
        <v>31</v>
      </c>
      <c r="C5" s="15">
        <v>18830</v>
      </c>
      <c r="E5" s="16"/>
    </row>
    <row r="6" spans="1:6" x14ac:dyDescent="0.2">
      <c r="A6" t="s">
        <v>47</v>
      </c>
      <c r="B6" t="s">
        <v>32</v>
      </c>
      <c r="C6">
        <v>30553</v>
      </c>
      <c r="E6" s="16"/>
    </row>
    <row r="7" spans="1:6" x14ac:dyDescent="0.2">
      <c r="A7" t="s">
        <v>47</v>
      </c>
      <c r="B7" t="s">
        <v>33</v>
      </c>
      <c r="C7">
        <v>3966</v>
      </c>
      <c r="E7" s="16"/>
    </row>
    <row r="8" spans="1:6" x14ac:dyDescent="0.2">
      <c r="A8" t="s">
        <v>47</v>
      </c>
      <c r="B8" t="s">
        <v>34</v>
      </c>
      <c r="C8" s="15">
        <f>8543+1679</f>
        <v>10222</v>
      </c>
      <c r="E8" s="16"/>
    </row>
    <row r="9" spans="1:6" x14ac:dyDescent="0.2">
      <c r="A9" t="s">
        <v>47</v>
      </c>
      <c r="B9" t="s">
        <v>17</v>
      </c>
      <c r="C9" s="15">
        <v>4056</v>
      </c>
      <c r="E9" s="16"/>
    </row>
    <row r="10" spans="1:6" x14ac:dyDescent="0.2">
      <c r="A10" t="s">
        <v>47</v>
      </c>
      <c r="B10" t="s">
        <v>19</v>
      </c>
      <c r="C10">
        <v>58</v>
      </c>
      <c r="E10" s="16"/>
    </row>
    <row r="11" spans="1:6" x14ac:dyDescent="0.2">
      <c r="A11" t="s">
        <v>47</v>
      </c>
      <c r="B11" t="s">
        <v>20</v>
      </c>
      <c r="C11">
        <v>1397</v>
      </c>
      <c r="E11" s="16"/>
    </row>
    <row r="12" spans="1:6" x14ac:dyDescent="0.2">
      <c r="A12" t="s">
        <v>47</v>
      </c>
      <c r="B12" t="s">
        <v>21</v>
      </c>
      <c r="C12">
        <v>3718</v>
      </c>
      <c r="E12" s="16"/>
    </row>
    <row r="13" spans="1:6" x14ac:dyDescent="0.2">
      <c r="A13" t="s">
        <v>47</v>
      </c>
      <c r="B13" t="s">
        <v>23</v>
      </c>
      <c r="C13">
        <v>55630</v>
      </c>
      <c r="E13" s="16"/>
    </row>
    <row r="14" spans="1:6" x14ac:dyDescent="0.2">
      <c r="A14" t="s">
        <v>47</v>
      </c>
      <c r="B14" t="s">
        <v>25</v>
      </c>
      <c r="C14">
        <v>1599</v>
      </c>
      <c r="E14" s="16"/>
    </row>
    <row r="15" spans="1:6" x14ac:dyDescent="0.2">
      <c r="A15" t="s">
        <v>47</v>
      </c>
      <c r="B15" t="s">
        <v>88</v>
      </c>
      <c r="C15">
        <v>2260.2599999999998</v>
      </c>
      <c r="E15" s="16"/>
    </row>
    <row r="16" spans="1:6" x14ac:dyDescent="0.2">
      <c r="A16" t="s">
        <v>47</v>
      </c>
      <c r="B16" t="s">
        <v>24</v>
      </c>
      <c r="C16">
        <v>56309</v>
      </c>
      <c r="E16" s="16"/>
    </row>
    <row r="17" spans="1:5" x14ac:dyDescent="0.2">
      <c r="A17" t="s">
        <v>48</v>
      </c>
      <c r="B17" t="s">
        <v>31</v>
      </c>
      <c r="C17" s="15">
        <v>3165</v>
      </c>
      <c r="E17" s="16"/>
    </row>
    <row r="18" spans="1:5" x14ac:dyDescent="0.2">
      <c r="A18" t="s">
        <v>48</v>
      </c>
      <c r="B18" t="s">
        <v>32</v>
      </c>
      <c r="C18">
        <v>1621</v>
      </c>
      <c r="E18" s="16"/>
    </row>
    <row r="19" spans="1:5" x14ac:dyDescent="0.2">
      <c r="A19" t="s">
        <v>48</v>
      </c>
      <c r="B19" t="s">
        <v>33</v>
      </c>
      <c r="C19">
        <v>997</v>
      </c>
      <c r="E19" s="16"/>
    </row>
    <row r="20" spans="1:5" x14ac:dyDescent="0.2">
      <c r="A20" t="s">
        <v>48</v>
      </c>
      <c r="B20" t="s">
        <v>34</v>
      </c>
      <c r="C20" s="15">
        <v>1870</v>
      </c>
      <c r="E20" s="16"/>
    </row>
    <row r="21" spans="1:5" x14ac:dyDescent="0.2">
      <c r="A21" t="s">
        <v>48</v>
      </c>
      <c r="B21" t="s">
        <v>21</v>
      </c>
      <c r="C21">
        <v>7</v>
      </c>
      <c r="E21" s="16"/>
    </row>
    <row r="22" spans="1:5" x14ac:dyDescent="0.2">
      <c r="A22" t="s">
        <v>48</v>
      </c>
      <c r="B22" t="s">
        <v>23</v>
      </c>
      <c r="C22">
        <v>4644</v>
      </c>
      <c r="E22" s="16"/>
    </row>
    <row r="23" spans="1:5" x14ac:dyDescent="0.2">
      <c r="A23" t="s">
        <v>48</v>
      </c>
      <c r="B23" t="s">
        <v>25</v>
      </c>
      <c r="C23">
        <v>384</v>
      </c>
      <c r="E23" s="16"/>
    </row>
    <row r="24" spans="1:5" x14ac:dyDescent="0.2">
      <c r="A24" t="s">
        <v>48</v>
      </c>
      <c r="B24" t="s">
        <v>88</v>
      </c>
      <c r="C24">
        <v>2305</v>
      </c>
      <c r="E24" s="16"/>
    </row>
    <row r="25" spans="1:5" x14ac:dyDescent="0.2">
      <c r="A25" t="s">
        <v>48</v>
      </c>
      <c r="B25" t="s">
        <v>24</v>
      </c>
      <c r="C25">
        <v>1536</v>
      </c>
      <c r="E25" s="16"/>
    </row>
    <row r="26" spans="1:5" x14ac:dyDescent="0.2">
      <c r="A26" t="s">
        <v>49</v>
      </c>
      <c r="B26" t="s">
        <v>31</v>
      </c>
      <c r="C26">
        <v>1817</v>
      </c>
      <c r="E26" s="16"/>
    </row>
    <row r="27" spans="1:5" x14ac:dyDescent="0.2">
      <c r="A27" t="s">
        <v>49</v>
      </c>
      <c r="B27" t="s">
        <v>32</v>
      </c>
      <c r="C27">
        <v>11379</v>
      </c>
      <c r="E27" s="16"/>
    </row>
    <row r="28" spans="1:5" x14ac:dyDescent="0.2">
      <c r="A28" t="s">
        <v>49</v>
      </c>
      <c r="B28" t="s">
        <v>33</v>
      </c>
      <c r="C28">
        <v>2755</v>
      </c>
      <c r="E28" s="16"/>
    </row>
    <row r="29" spans="1:5" x14ac:dyDescent="0.2">
      <c r="A29" t="s">
        <v>49</v>
      </c>
      <c r="B29" t="s">
        <v>25</v>
      </c>
      <c r="C29">
        <v>883</v>
      </c>
      <c r="E29" s="16"/>
    </row>
    <row r="30" spans="1:5" x14ac:dyDescent="0.2">
      <c r="A30" t="s">
        <v>49</v>
      </c>
      <c r="B30" t="s">
        <v>34</v>
      </c>
      <c r="C30" s="15">
        <f>2312+595</f>
        <v>2907</v>
      </c>
      <c r="E30" s="16"/>
    </row>
    <row r="31" spans="1:5" x14ac:dyDescent="0.2">
      <c r="A31" t="s">
        <v>49</v>
      </c>
      <c r="B31" t="s">
        <v>17</v>
      </c>
      <c r="C31">
        <v>61370</v>
      </c>
      <c r="E31" s="16"/>
    </row>
    <row r="32" spans="1:5" x14ac:dyDescent="0.2">
      <c r="A32" t="s">
        <v>49</v>
      </c>
      <c r="B32" t="s">
        <v>18</v>
      </c>
      <c r="C32">
        <v>243</v>
      </c>
      <c r="E32" s="16"/>
    </row>
    <row r="33" spans="1:5" x14ac:dyDescent="0.2">
      <c r="A33" t="s">
        <v>49</v>
      </c>
      <c r="B33" t="s">
        <v>21</v>
      </c>
      <c r="C33">
        <v>11030</v>
      </c>
      <c r="E33" s="16"/>
    </row>
    <row r="34" spans="1:5" x14ac:dyDescent="0.2">
      <c r="A34" t="s">
        <v>49</v>
      </c>
      <c r="B34" t="s">
        <v>23</v>
      </c>
      <c r="C34">
        <v>17178</v>
      </c>
      <c r="E34" s="16"/>
    </row>
    <row r="35" spans="1:5" x14ac:dyDescent="0.2">
      <c r="A35" t="s">
        <v>49</v>
      </c>
      <c r="B35" t="s">
        <v>24</v>
      </c>
      <c r="C35">
        <v>13861</v>
      </c>
      <c r="E35" s="16"/>
    </row>
    <row r="36" spans="1:5" x14ac:dyDescent="0.2">
      <c r="A36" t="s">
        <v>49</v>
      </c>
      <c r="B36" t="s">
        <v>20</v>
      </c>
      <c r="C36">
        <v>8785</v>
      </c>
    </row>
    <row r="37" spans="1:5" x14ac:dyDescent="0.2">
      <c r="A37" t="s">
        <v>47</v>
      </c>
      <c r="B37" t="s">
        <v>89</v>
      </c>
      <c r="C37">
        <v>0</v>
      </c>
    </row>
    <row r="38" spans="1:5" x14ac:dyDescent="0.2">
      <c r="A38" t="s">
        <v>48</v>
      </c>
      <c r="B38" t="s">
        <v>89</v>
      </c>
      <c r="C38">
        <v>0</v>
      </c>
    </row>
  </sheetData>
  <autoFilter ref="A1:C38" xr:uid="{BF57B14D-7BEE-477E-9F48-7CE3A3F9031B}"/>
  <phoneticPr fontId="5" type="noConversion"/>
  <conditionalFormatting sqref="E3:E3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9718-F383-44D5-9469-41FBA9506C0A}">
  <dimension ref="A1:D185"/>
  <sheetViews>
    <sheetView topLeftCell="A40" workbookViewId="0"/>
  </sheetViews>
  <sheetFormatPr baseColWidth="10" defaultColWidth="10.83203125" defaultRowHeight="15" x14ac:dyDescent="0.2"/>
  <cols>
    <col min="1" max="1" width="31.5" customWidth="1"/>
    <col min="2" max="2" width="5.83203125" bestFit="1" customWidth="1"/>
    <col min="3" max="3" width="29.83203125" bestFit="1" customWidth="1"/>
    <col min="4" max="4" width="19.1640625" bestFit="1" customWidth="1"/>
  </cols>
  <sheetData>
    <row r="1" spans="1:4" x14ac:dyDescent="0.2">
      <c r="A1" t="s">
        <v>50</v>
      </c>
    </row>
    <row r="2" spans="1:4" x14ac:dyDescent="0.2">
      <c r="A2" t="s">
        <v>51</v>
      </c>
    </row>
    <row r="3" spans="1:4" x14ac:dyDescent="0.2">
      <c r="A3" t="s">
        <v>2</v>
      </c>
      <c r="B3" t="s">
        <v>3</v>
      </c>
      <c r="C3" t="s">
        <v>52</v>
      </c>
      <c r="D3" t="s">
        <v>53</v>
      </c>
    </row>
    <row r="4" spans="1:4" x14ac:dyDescent="0.2">
      <c r="A4" t="s">
        <v>30</v>
      </c>
      <c r="B4">
        <v>2</v>
      </c>
      <c r="C4" s="2">
        <v>0.38461538461538458</v>
      </c>
      <c r="D4" t="s">
        <v>54</v>
      </c>
    </row>
    <row r="5" spans="1:4" x14ac:dyDescent="0.2">
      <c r="A5" t="s">
        <v>31</v>
      </c>
      <c r="B5">
        <v>2</v>
      </c>
      <c r="C5" s="2">
        <v>0.38461538461538458</v>
      </c>
      <c r="D5" t="s">
        <v>54</v>
      </c>
    </row>
    <row r="6" spans="1:4" x14ac:dyDescent="0.2">
      <c r="A6" t="s">
        <v>32</v>
      </c>
      <c r="B6">
        <v>2</v>
      </c>
      <c r="C6" s="2">
        <v>0.3173076923076924</v>
      </c>
      <c r="D6" t="s">
        <v>54</v>
      </c>
    </row>
    <row r="7" spans="1:4" x14ac:dyDescent="0.2">
      <c r="A7" t="s">
        <v>33</v>
      </c>
      <c r="B7">
        <v>2</v>
      </c>
      <c r="C7" s="2">
        <v>0.44444444444444409</v>
      </c>
      <c r="D7" t="s">
        <v>54</v>
      </c>
    </row>
    <row r="8" spans="1:4" x14ac:dyDescent="0.2">
      <c r="A8" t="s">
        <v>34</v>
      </c>
      <c r="B8">
        <v>2</v>
      </c>
      <c r="C8" s="2">
        <v>0.2857142857142857</v>
      </c>
      <c r="D8" t="s">
        <v>55</v>
      </c>
    </row>
    <row r="9" spans="1:4" x14ac:dyDescent="0.2">
      <c r="A9" t="s">
        <v>17</v>
      </c>
      <c r="B9">
        <v>2</v>
      </c>
      <c r="C9" s="2">
        <v>0.2857142857142857</v>
      </c>
      <c r="D9" t="s">
        <v>55</v>
      </c>
    </row>
    <row r="10" spans="1:4" x14ac:dyDescent="0.2">
      <c r="A10" t="s">
        <v>30</v>
      </c>
      <c r="B10">
        <v>3</v>
      </c>
      <c r="C10" s="2">
        <v>0.58653846153846156</v>
      </c>
      <c r="D10" t="s">
        <v>54</v>
      </c>
    </row>
    <row r="11" spans="1:4" x14ac:dyDescent="0.2">
      <c r="A11" t="s">
        <v>31</v>
      </c>
      <c r="B11">
        <v>3</v>
      </c>
      <c r="C11" s="2">
        <v>0.58653846153846156</v>
      </c>
      <c r="D11" t="s">
        <v>54</v>
      </c>
    </row>
    <row r="12" spans="1:4" x14ac:dyDescent="0.2">
      <c r="A12" t="s">
        <v>32</v>
      </c>
      <c r="B12">
        <v>3</v>
      </c>
      <c r="C12" s="2">
        <v>0.57692307692307698</v>
      </c>
      <c r="D12" t="s">
        <v>54</v>
      </c>
    </row>
    <row r="13" spans="1:4" x14ac:dyDescent="0.2">
      <c r="A13" t="s">
        <v>33</v>
      </c>
      <c r="B13">
        <v>3</v>
      </c>
      <c r="C13" s="2">
        <v>0.66666666666666652</v>
      </c>
      <c r="D13" t="s">
        <v>54</v>
      </c>
    </row>
    <row r="14" spans="1:4" x14ac:dyDescent="0.2">
      <c r="A14" t="s">
        <v>34</v>
      </c>
      <c r="B14">
        <v>3</v>
      </c>
      <c r="C14" s="2">
        <v>0.42857142857142855</v>
      </c>
      <c r="D14" t="s">
        <v>55</v>
      </c>
    </row>
    <row r="15" spans="1:4" x14ac:dyDescent="0.2">
      <c r="A15" t="s">
        <v>17</v>
      </c>
      <c r="B15">
        <v>3</v>
      </c>
      <c r="C15" s="2">
        <v>0.42857142857142855</v>
      </c>
      <c r="D15" t="s">
        <v>55</v>
      </c>
    </row>
    <row r="16" spans="1:4" x14ac:dyDescent="0.2">
      <c r="A16" t="s">
        <v>30</v>
      </c>
      <c r="B16">
        <v>4</v>
      </c>
      <c r="C16" s="2">
        <v>0.71153846153846156</v>
      </c>
      <c r="D16" t="s">
        <v>54</v>
      </c>
    </row>
    <row r="17" spans="1:4" x14ac:dyDescent="0.2">
      <c r="A17" t="s">
        <v>31</v>
      </c>
      <c r="B17">
        <v>4</v>
      </c>
      <c r="C17" s="2">
        <v>0.71153846153846156</v>
      </c>
      <c r="D17" t="s">
        <v>54</v>
      </c>
    </row>
    <row r="18" spans="1:4" x14ac:dyDescent="0.2">
      <c r="A18" t="s">
        <v>32</v>
      </c>
      <c r="B18">
        <v>4</v>
      </c>
      <c r="C18" s="2">
        <v>0.90384615384615385</v>
      </c>
      <c r="D18" t="s">
        <v>54</v>
      </c>
    </row>
    <row r="19" spans="1:4" x14ac:dyDescent="0.2">
      <c r="A19" t="s">
        <v>33</v>
      </c>
      <c r="B19">
        <v>4</v>
      </c>
      <c r="C19" s="2">
        <v>0.75925925925925908</v>
      </c>
      <c r="D19" t="s">
        <v>54</v>
      </c>
    </row>
    <row r="20" spans="1:4" x14ac:dyDescent="0.2">
      <c r="A20" t="s">
        <v>34</v>
      </c>
      <c r="B20">
        <v>4</v>
      </c>
      <c r="C20" s="2">
        <v>0.5714285714285714</v>
      </c>
      <c r="D20" t="s">
        <v>55</v>
      </c>
    </row>
    <row r="21" spans="1:4" x14ac:dyDescent="0.2">
      <c r="A21" t="s">
        <v>17</v>
      </c>
      <c r="B21">
        <v>4</v>
      </c>
      <c r="C21" s="2">
        <v>0.5714285714285714</v>
      </c>
      <c r="D21" t="s">
        <v>55</v>
      </c>
    </row>
    <row r="22" spans="1:4" x14ac:dyDescent="0.2">
      <c r="A22" t="s">
        <v>30</v>
      </c>
      <c r="B22">
        <v>5</v>
      </c>
      <c r="C22" s="2">
        <v>0.8</v>
      </c>
      <c r="D22" t="s">
        <v>54</v>
      </c>
    </row>
    <row r="23" spans="1:4" x14ac:dyDescent="0.2">
      <c r="A23" t="s">
        <v>31</v>
      </c>
      <c r="B23">
        <v>5</v>
      </c>
      <c r="C23" s="2">
        <v>0.8</v>
      </c>
      <c r="D23" t="s">
        <v>54</v>
      </c>
    </row>
    <row r="24" spans="1:4" x14ac:dyDescent="0.2">
      <c r="A24" t="s">
        <v>32</v>
      </c>
      <c r="B24">
        <v>5</v>
      </c>
      <c r="C24" s="2">
        <v>0.92</v>
      </c>
      <c r="D24" t="s">
        <v>54</v>
      </c>
    </row>
    <row r="25" spans="1:4" x14ac:dyDescent="0.2">
      <c r="A25" t="s">
        <v>33</v>
      </c>
      <c r="B25">
        <v>5</v>
      </c>
      <c r="C25" s="2">
        <v>0.85</v>
      </c>
      <c r="D25" t="s">
        <v>54</v>
      </c>
    </row>
    <row r="26" spans="1:4" x14ac:dyDescent="0.2">
      <c r="A26" t="s">
        <v>34</v>
      </c>
      <c r="B26">
        <v>5</v>
      </c>
      <c r="C26" s="2">
        <v>0.7142857142857143</v>
      </c>
      <c r="D26" t="s">
        <v>55</v>
      </c>
    </row>
    <row r="27" spans="1:4" x14ac:dyDescent="0.2">
      <c r="A27" t="s">
        <v>17</v>
      </c>
      <c r="B27">
        <v>5</v>
      </c>
      <c r="C27" s="2">
        <v>0.7142857142857143</v>
      </c>
      <c r="D27" t="s">
        <v>55</v>
      </c>
    </row>
    <row r="28" spans="1:4" x14ac:dyDescent="0.2">
      <c r="A28" t="s">
        <v>30</v>
      </c>
      <c r="B28">
        <v>6</v>
      </c>
      <c r="C28" s="2">
        <v>0.95</v>
      </c>
      <c r="D28" t="s">
        <v>56</v>
      </c>
    </row>
    <row r="29" spans="1:4" x14ac:dyDescent="0.2">
      <c r="A29" t="s">
        <v>31</v>
      </c>
      <c r="B29">
        <v>6</v>
      </c>
      <c r="C29" s="2">
        <v>0.95</v>
      </c>
      <c r="D29" t="s">
        <v>56</v>
      </c>
    </row>
    <row r="30" spans="1:4" x14ac:dyDescent="0.2">
      <c r="A30" t="s">
        <v>32</v>
      </c>
      <c r="B30">
        <v>6</v>
      </c>
      <c r="C30" s="2">
        <v>1</v>
      </c>
      <c r="D30" t="s">
        <v>56</v>
      </c>
    </row>
    <row r="31" spans="1:4" x14ac:dyDescent="0.2">
      <c r="A31" t="s">
        <v>33</v>
      </c>
      <c r="B31">
        <v>6</v>
      </c>
      <c r="C31" s="2">
        <v>0.95</v>
      </c>
      <c r="D31" t="s">
        <v>56</v>
      </c>
    </row>
    <row r="32" spans="1:4" x14ac:dyDescent="0.2">
      <c r="A32" t="s">
        <v>34</v>
      </c>
      <c r="B32">
        <v>6</v>
      </c>
      <c r="C32" s="2">
        <v>0.8571428571428571</v>
      </c>
      <c r="D32" t="s">
        <v>55</v>
      </c>
    </row>
    <row r="33" spans="1:4" x14ac:dyDescent="0.2">
      <c r="A33" t="s">
        <v>17</v>
      </c>
      <c r="B33">
        <v>6</v>
      </c>
      <c r="C33" s="2">
        <v>0.8571428571428571</v>
      </c>
      <c r="D33" t="s">
        <v>55</v>
      </c>
    </row>
    <row r="34" spans="1:4" x14ac:dyDescent="0.2">
      <c r="A34" t="s">
        <v>23</v>
      </c>
      <c r="B34">
        <v>6</v>
      </c>
      <c r="C34" s="2">
        <v>0.5</v>
      </c>
    </row>
    <row r="35" spans="1:4" x14ac:dyDescent="0.2">
      <c r="A35" t="s">
        <v>88</v>
      </c>
      <c r="B35">
        <v>6</v>
      </c>
      <c r="C35" s="2">
        <v>1</v>
      </c>
    </row>
    <row r="36" spans="1:4" x14ac:dyDescent="0.2">
      <c r="A36" t="s">
        <v>24</v>
      </c>
      <c r="B36">
        <v>6</v>
      </c>
      <c r="C36" s="2">
        <v>0.5</v>
      </c>
    </row>
    <row r="37" spans="1:4" x14ac:dyDescent="0.2">
      <c r="A37" t="s">
        <v>30</v>
      </c>
      <c r="B37">
        <v>7</v>
      </c>
      <c r="C37" s="2">
        <v>1</v>
      </c>
      <c r="D37" t="s">
        <v>56</v>
      </c>
    </row>
    <row r="38" spans="1:4" x14ac:dyDescent="0.2">
      <c r="A38" t="s">
        <v>31</v>
      </c>
      <c r="B38">
        <v>7</v>
      </c>
      <c r="C38" s="2">
        <v>1</v>
      </c>
      <c r="D38" t="s">
        <v>56</v>
      </c>
    </row>
    <row r="39" spans="1:4" x14ac:dyDescent="0.2">
      <c r="A39" t="s">
        <v>32</v>
      </c>
      <c r="B39">
        <v>7</v>
      </c>
      <c r="C39" s="2">
        <v>1</v>
      </c>
      <c r="D39" t="s">
        <v>56</v>
      </c>
    </row>
    <row r="40" spans="1:4" x14ac:dyDescent="0.2">
      <c r="A40" t="s">
        <v>33</v>
      </c>
      <c r="B40">
        <v>7</v>
      </c>
      <c r="C40" s="2">
        <v>1</v>
      </c>
      <c r="D40" t="s">
        <v>56</v>
      </c>
    </row>
    <row r="41" spans="1:4" x14ac:dyDescent="0.2">
      <c r="A41" t="s">
        <v>34</v>
      </c>
      <c r="B41">
        <v>7</v>
      </c>
      <c r="C41" s="2">
        <v>1</v>
      </c>
      <c r="D41" t="s">
        <v>55</v>
      </c>
    </row>
    <row r="42" spans="1:4" x14ac:dyDescent="0.2">
      <c r="A42" t="s">
        <v>17</v>
      </c>
      <c r="B42">
        <v>7</v>
      </c>
      <c r="C42" s="2">
        <v>1</v>
      </c>
      <c r="D42" t="s">
        <v>55</v>
      </c>
    </row>
    <row r="43" spans="1:4" x14ac:dyDescent="0.2">
      <c r="A43" t="s">
        <v>23</v>
      </c>
      <c r="B43">
        <v>7</v>
      </c>
      <c r="C43" s="2">
        <v>1</v>
      </c>
    </row>
    <row r="44" spans="1:4" x14ac:dyDescent="0.2">
      <c r="A44" t="s">
        <v>88</v>
      </c>
      <c r="B44">
        <v>7</v>
      </c>
      <c r="C44" s="2">
        <v>1</v>
      </c>
    </row>
    <row r="45" spans="1:4" x14ac:dyDescent="0.2">
      <c r="A45" t="s">
        <v>24</v>
      </c>
      <c r="B45">
        <v>7</v>
      </c>
      <c r="C45" s="2">
        <v>1</v>
      </c>
    </row>
    <row r="46" spans="1:4" x14ac:dyDescent="0.2">
      <c r="A46" t="s">
        <v>30</v>
      </c>
      <c r="B46">
        <v>8</v>
      </c>
      <c r="C46" s="2">
        <v>1</v>
      </c>
      <c r="D46" t="s">
        <v>56</v>
      </c>
    </row>
    <row r="47" spans="1:4" x14ac:dyDescent="0.2">
      <c r="A47" t="s">
        <v>31</v>
      </c>
      <c r="B47">
        <v>8</v>
      </c>
      <c r="C47" s="2">
        <v>1</v>
      </c>
      <c r="D47" t="s">
        <v>56</v>
      </c>
    </row>
    <row r="48" spans="1:4" x14ac:dyDescent="0.2">
      <c r="A48" t="s">
        <v>32</v>
      </c>
      <c r="B48">
        <v>8</v>
      </c>
      <c r="C48" s="2">
        <v>1</v>
      </c>
      <c r="D48" t="s">
        <v>56</v>
      </c>
    </row>
    <row r="49" spans="1:4" x14ac:dyDescent="0.2">
      <c r="A49" t="s">
        <v>33</v>
      </c>
      <c r="B49">
        <v>8</v>
      </c>
      <c r="C49" s="2">
        <v>1</v>
      </c>
      <c r="D49" t="s">
        <v>56</v>
      </c>
    </row>
    <row r="50" spans="1:4" x14ac:dyDescent="0.2">
      <c r="A50" t="s">
        <v>34</v>
      </c>
      <c r="B50">
        <v>8</v>
      </c>
      <c r="C50" s="2">
        <v>1</v>
      </c>
      <c r="D50" t="s">
        <v>55</v>
      </c>
    </row>
    <row r="51" spans="1:4" x14ac:dyDescent="0.2">
      <c r="A51" t="s">
        <v>17</v>
      </c>
      <c r="B51">
        <v>8</v>
      </c>
      <c r="C51" s="2">
        <v>1</v>
      </c>
      <c r="D51" t="s">
        <v>55</v>
      </c>
    </row>
    <row r="52" spans="1:4" x14ac:dyDescent="0.2">
      <c r="A52" t="s">
        <v>23</v>
      </c>
      <c r="B52">
        <v>8</v>
      </c>
      <c r="C52" s="2">
        <v>1</v>
      </c>
    </row>
    <row r="53" spans="1:4" x14ac:dyDescent="0.2">
      <c r="A53" t="s">
        <v>88</v>
      </c>
      <c r="B53">
        <v>8</v>
      </c>
      <c r="C53" s="2">
        <v>1</v>
      </c>
    </row>
    <row r="54" spans="1:4" x14ac:dyDescent="0.2">
      <c r="A54" t="s">
        <v>24</v>
      </c>
      <c r="B54">
        <v>8</v>
      </c>
      <c r="C54" s="2">
        <v>1</v>
      </c>
    </row>
    <row r="55" spans="1:4" x14ac:dyDescent="0.2">
      <c r="A55" t="s">
        <v>89</v>
      </c>
      <c r="B55">
        <v>6</v>
      </c>
      <c r="C55" s="2">
        <v>1</v>
      </c>
    </row>
    <row r="56" spans="1:4" x14ac:dyDescent="0.2">
      <c r="A56" t="s">
        <v>89</v>
      </c>
      <c r="B56">
        <v>7</v>
      </c>
      <c r="C56" s="2">
        <v>1</v>
      </c>
    </row>
    <row r="57" spans="1:4" x14ac:dyDescent="0.2">
      <c r="A57" t="s">
        <v>89</v>
      </c>
      <c r="B57">
        <v>8</v>
      </c>
      <c r="C57" s="2">
        <v>1</v>
      </c>
    </row>
    <row r="58" spans="1:4" x14ac:dyDescent="0.2">
      <c r="C58" s="2"/>
    </row>
    <row r="59" spans="1:4" x14ac:dyDescent="0.2">
      <c r="C59" s="2"/>
    </row>
    <row r="60" spans="1:4" x14ac:dyDescent="0.2">
      <c r="C60" s="2"/>
    </row>
    <row r="61" spans="1:4" x14ac:dyDescent="0.2">
      <c r="C61" s="2"/>
    </row>
    <row r="62" spans="1:4" x14ac:dyDescent="0.2">
      <c r="C62" s="2"/>
    </row>
    <row r="63" spans="1:4" x14ac:dyDescent="0.2">
      <c r="C63" s="2"/>
    </row>
    <row r="64" spans="1:4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</sheetData>
  <autoFilter ref="A1:D54" xr:uid="{430B19AC-5A31-4339-96D3-802AD3ADD98C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8" sqref="D8"/>
    </sheetView>
  </sheetViews>
  <sheetFormatPr baseColWidth="10" defaultColWidth="10.5" defaultRowHeight="15" x14ac:dyDescent="0.2"/>
  <cols>
    <col min="1" max="1" width="10.5" bestFit="1" customWidth="1"/>
    <col min="2" max="2" width="18.1640625" bestFit="1" customWidth="1"/>
    <col min="3" max="3" width="5.83203125" bestFit="1" customWidth="1"/>
    <col min="4" max="4" width="25.5" bestFit="1" customWidth="1"/>
  </cols>
  <sheetData>
    <row r="1" spans="1:4" x14ac:dyDescent="0.2">
      <c r="A1" t="s">
        <v>43</v>
      </c>
    </row>
    <row r="2" spans="1:4" x14ac:dyDescent="0.2">
      <c r="A2" t="s">
        <v>57</v>
      </c>
    </row>
    <row r="3" spans="1:4" x14ac:dyDescent="0.2">
      <c r="A3" t="s">
        <v>45</v>
      </c>
      <c r="B3" t="s">
        <v>2</v>
      </c>
      <c r="C3" t="s">
        <v>3</v>
      </c>
      <c r="D3" t="s">
        <v>58</v>
      </c>
    </row>
    <row r="4" spans="1:4" x14ac:dyDescent="0.2">
      <c r="A4" t="s">
        <v>47</v>
      </c>
      <c r="B4" t="s">
        <v>31</v>
      </c>
      <c r="C4">
        <v>1</v>
      </c>
      <c r="D4">
        <v>0</v>
      </c>
    </row>
  </sheetData>
  <autoFilter ref="A1:D1115" xr:uid="{8FA88A72-1E2E-45B2-82C4-CA105EC88C83}"/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topLeftCell="A42" zoomScaleNormal="100" workbookViewId="0">
      <selection activeCell="G29" sqref="G29"/>
    </sheetView>
  </sheetViews>
  <sheetFormatPr baseColWidth="10" defaultColWidth="10.5" defaultRowHeight="15" x14ac:dyDescent="0.2"/>
  <cols>
    <col min="1" max="1" width="12.1640625" customWidth="1"/>
    <col min="2" max="2" width="21.1640625" bestFit="1" customWidth="1"/>
    <col min="3" max="3" width="12.1640625" customWidth="1"/>
    <col min="4" max="4" width="27.83203125" customWidth="1"/>
  </cols>
  <sheetData>
    <row r="1" spans="1:4" x14ac:dyDescent="0.2">
      <c r="A1" t="s">
        <v>59</v>
      </c>
    </row>
    <row r="2" spans="1:4" x14ac:dyDescent="0.2">
      <c r="A2" t="s">
        <v>60</v>
      </c>
    </row>
    <row r="3" spans="1:4" x14ac:dyDescent="0.2">
      <c r="A3" t="s">
        <v>45</v>
      </c>
      <c r="B3" t="s">
        <v>2</v>
      </c>
      <c r="C3" t="s">
        <v>3</v>
      </c>
      <c r="D3" t="s">
        <v>61</v>
      </c>
    </row>
    <row r="4" spans="1:4" x14ac:dyDescent="0.2">
      <c r="A4" t="s">
        <v>47</v>
      </c>
      <c r="B4" t="s">
        <v>62</v>
      </c>
      <c r="C4">
        <v>1</v>
      </c>
      <c r="D4">
        <v>0</v>
      </c>
    </row>
    <row r="5" spans="1:4" x14ac:dyDescent="0.2">
      <c r="A5" t="s">
        <v>48</v>
      </c>
      <c r="B5" t="s">
        <v>62</v>
      </c>
      <c r="C5">
        <v>1</v>
      </c>
      <c r="D5">
        <v>0</v>
      </c>
    </row>
    <row r="6" spans="1:4" x14ac:dyDescent="0.2">
      <c r="A6" t="s">
        <v>49</v>
      </c>
      <c r="B6" t="s">
        <v>62</v>
      </c>
      <c r="C6">
        <v>1</v>
      </c>
      <c r="D6">
        <v>0</v>
      </c>
    </row>
    <row r="7" spans="1:4" x14ac:dyDescent="0.2">
      <c r="A7" t="s">
        <v>47</v>
      </c>
      <c r="B7" t="s">
        <v>62</v>
      </c>
      <c r="C7">
        <v>2</v>
      </c>
      <c r="D7">
        <v>0</v>
      </c>
    </row>
    <row r="8" spans="1:4" x14ac:dyDescent="0.2">
      <c r="A8" t="s">
        <v>48</v>
      </c>
      <c r="B8" t="s">
        <v>62</v>
      </c>
      <c r="C8">
        <v>2</v>
      </c>
      <c r="D8">
        <v>0</v>
      </c>
    </row>
    <row r="9" spans="1:4" x14ac:dyDescent="0.2">
      <c r="A9" t="s">
        <v>49</v>
      </c>
      <c r="B9" t="s">
        <v>62</v>
      </c>
      <c r="C9">
        <v>2</v>
      </c>
      <c r="D9">
        <v>0</v>
      </c>
    </row>
    <row r="10" spans="1:4" x14ac:dyDescent="0.2">
      <c r="A10" t="s">
        <v>47</v>
      </c>
      <c r="B10" t="s">
        <v>62</v>
      </c>
      <c r="C10">
        <v>3</v>
      </c>
      <c r="D10">
        <v>0</v>
      </c>
    </row>
    <row r="11" spans="1:4" x14ac:dyDescent="0.2">
      <c r="A11" t="s">
        <v>48</v>
      </c>
      <c r="B11" t="s">
        <v>62</v>
      </c>
      <c r="C11">
        <v>3</v>
      </c>
      <c r="D11">
        <v>0</v>
      </c>
    </row>
    <row r="12" spans="1:4" x14ac:dyDescent="0.2">
      <c r="A12" t="s">
        <v>49</v>
      </c>
      <c r="B12" t="s">
        <v>62</v>
      </c>
      <c r="C12">
        <v>3</v>
      </c>
      <c r="D12">
        <v>0</v>
      </c>
    </row>
    <row r="13" spans="1:4" x14ac:dyDescent="0.2">
      <c r="A13" t="s">
        <v>47</v>
      </c>
      <c r="B13" t="s">
        <v>62</v>
      </c>
      <c r="C13">
        <v>4</v>
      </c>
      <c r="D13">
        <v>0</v>
      </c>
    </row>
    <row r="14" spans="1:4" x14ac:dyDescent="0.2">
      <c r="A14" t="s">
        <v>48</v>
      </c>
      <c r="B14" t="s">
        <v>62</v>
      </c>
      <c r="C14">
        <v>4</v>
      </c>
      <c r="D14">
        <v>0</v>
      </c>
    </row>
    <row r="15" spans="1:4" x14ac:dyDescent="0.2">
      <c r="A15" t="s">
        <v>49</v>
      </c>
      <c r="B15" t="s">
        <v>62</v>
      </c>
      <c r="C15">
        <v>4</v>
      </c>
      <c r="D15">
        <v>0</v>
      </c>
    </row>
    <row r="16" spans="1:4" x14ac:dyDescent="0.2">
      <c r="A16" t="s">
        <v>47</v>
      </c>
      <c r="B16" t="s">
        <v>62</v>
      </c>
      <c r="C16">
        <v>5</v>
      </c>
      <c r="D16">
        <v>0</v>
      </c>
    </row>
    <row r="17" spans="1:4" x14ac:dyDescent="0.2">
      <c r="A17" t="s">
        <v>48</v>
      </c>
      <c r="B17" t="s">
        <v>62</v>
      </c>
      <c r="C17">
        <v>5</v>
      </c>
      <c r="D17">
        <v>0</v>
      </c>
    </row>
    <row r="18" spans="1:4" x14ac:dyDescent="0.2">
      <c r="A18" t="s">
        <v>49</v>
      </c>
      <c r="B18" t="s">
        <v>62</v>
      </c>
      <c r="C18">
        <v>5</v>
      </c>
      <c r="D18">
        <v>0</v>
      </c>
    </row>
    <row r="19" spans="1:4" x14ac:dyDescent="0.2">
      <c r="A19" t="s">
        <v>47</v>
      </c>
      <c r="B19" t="s">
        <v>62</v>
      </c>
      <c r="C19">
        <v>6</v>
      </c>
      <c r="D19">
        <v>0</v>
      </c>
    </row>
    <row r="20" spans="1:4" x14ac:dyDescent="0.2">
      <c r="A20" t="s">
        <v>48</v>
      </c>
      <c r="B20" t="s">
        <v>62</v>
      </c>
      <c r="C20">
        <v>6</v>
      </c>
      <c r="D20">
        <v>0</v>
      </c>
    </row>
    <row r="21" spans="1:4" x14ac:dyDescent="0.2">
      <c r="A21" t="s">
        <v>49</v>
      </c>
      <c r="B21" t="s">
        <v>62</v>
      </c>
      <c r="C21">
        <v>6</v>
      </c>
      <c r="D21">
        <v>0</v>
      </c>
    </row>
    <row r="22" spans="1:4" x14ac:dyDescent="0.2">
      <c r="A22" t="s">
        <v>47</v>
      </c>
      <c r="B22" t="s">
        <v>62</v>
      </c>
      <c r="C22">
        <v>7</v>
      </c>
      <c r="D22">
        <v>0</v>
      </c>
    </row>
    <row r="23" spans="1:4" x14ac:dyDescent="0.2">
      <c r="A23" t="s">
        <v>48</v>
      </c>
      <c r="B23" t="s">
        <v>62</v>
      </c>
      <c r="C23">
        <v>7</v>
      </c>
      <c r="D23">
        <v>0</v>
      </c>
    </row>
    <row r="24" spans="1:4" x14ac:dyDescent="0.2">
      <c r="A24" t="s">
        <v>49</v>
      </c>
      <c r="B24" t="s">
        <v>62</v>
      </c>
      <c r="C24">
        <v>7</v>
      </c>
      <c r="D24">
        <v>0</v>
      </c>
    </row>
    <row r="25" spans="1:4" x14ac:dyDescent="0.2">
      <c r="A25" t="s">
        <v>47</v>
      </c>
      <c r="B25" t="s">
        <v>62</v>
      </c>
      <c r="C25">
        <v>8</v>
      </c>
      <c r="D25">
        <v>0</v>
      </c>
    </row>
    <row r="26" spans="1:4" x14ac:dyDescent="0.2">
      <c r="A26" t="s">
        <v>48</v>
      </c>
      <c r="B26" t="s">
        <v>62</v>
      </c>
      <c r="C26">
        <v>8</v>
      </c>
      <c r="D26">
        <v>0</v>
      </c>
    </row>
    <row r="27" spans="1:4" x14ac:dyDescent="0.2">
      <c r="A27" t="s">
        <v>49</v>
      </c>
      <c r="B27" t="s">
        <v>62</v>
      </c>
      <c r="C27">
        <v>8</v>
      </c>
      <c r="D27">
        <v>0</v>
      </c>
    </row>
    <row r="28" spans="1:4" x14ac:dyDescent="0.2">
      <c r="A28" t="s">
        <v>47</v>
      </c>
      <c r="B28" t="s">
        <v>63</v>
      </c>
      <c r="C28">
        <v>1</v>
      </c>
      <c r="D28">
        <v>0</v>
      </c>
    </row>
    <row r="29" spans="1:4" x14ac:dyDescent="0.2">
      <c r="A29" t="s">
        <v>48</v>
      </c>
      <c r="B29" t="s">
        <v>63</v>
      </c>
      <c r="C29">
        <v>1</v>
      </c>
      <c r="D29">
        <v>0</v>
      </c>
    </row>
    <row r="30" spans="1:4" x14ac:dyDescent="0.2">
      <c r="A30" t="s">
        <v>49</v>
      </c>
      <c r="B30" t="s">
        <v>63</v>
      </c>
      <c r="C30">
        <v>1</v>
      </c>
      <c r="D30">
        <v>0</v>
      </c>
    </row>
    <row r="31" spans="1:4" x14ac:dyDescent="0.2">
      <c r="A31" t="s">
        <v>47</v>
      </c>
      <c r="B31" t="s">
        <v>63</v>
      </c>
      <c r="C31">
        <v>2</v>
      </c>
      <c r="D31">
        <v>0</v>
      </c>
    </row>
    <row r="32" spans="1:4" x14ac:dyDescent="0.2">
      <c r="A32" t="s">
        <v>48</v>
      </c>
      <c r="B32" t="s">
        <v>63</v>
      </c>
      <c r="C32">
        <v>2</v>
      </c>
      <c r="D32">
        <v>0</v>
      </c>
    </row>
    <row r="33" spans="1:4" x14ac:dyDescent="0.2">
      <c r="A33" t="s">
        <v>49</v>
      </c>
      <c r="B33" t="s">
        <v>63</v>
      </c>
      <c r="C33">
        <v>2</v>
      </c>
      <c r="D33">
        <v>0</v>
      </c>
    </row>
    <row r="34" spans="1:4" x14ac:dyDescent="0.2">
      <c r="A34" t="s">
        <v>47</v>
      </c>
      <c r="B34" t="s">
        <v>63</v>
      </c>
      <c r="C34">
        <v>3</v>
      </c>
      <c r="D34">
        <v>0</v>
      </c>
    </row>
    <row r="35" spans="1:4" x14ac:dyDescent="0.2">
      <c r="A35" t="s">
        <v>48</v>
      </c>
      <c r="B35" t="s">
        <v>63</v>
      </c>
      <c r="C35">
        <v>3</v>
      </c>
      <c r="D35">
        <v>0</v>
      </c>
    </row>
    <row r="36" spans="1:4" x14ac:dyDescent="0.2">
      <c r="A36" t="s">
        <v>49</v>
      </c>
      <c r="B36" t="s">
        <v>63</v>
      </c>
      <c r="C36">
        <v>3</v>
      </c>
      <c r="D36">
        <v>0</v>
      </c>
    </row>
    <row r="37" spans="1:4" x14ac:dyDescent="0.2">
      <c r="A37" t="s">
        <v>47</v>
      </c>
      <c r="B37" t="s">
        <v>63</v>
      </c>
      <c r="C37">
        <v>4</v>
      </c>
      <c r="D37">
        <v>0</v>
      </c>
    </row>
    <row r="38" spans="1:4" x14ac:dyDescent="0.2">
      <c r="A38" t="s">
        <v>48</v>
      </c>
      <c r="B38" t="s">
        <v>63</v>
      </c>
      <c r="C38">
        <v>4</v>
      </c>
      <c r="D38">
        <v>0</v>
      </c>
    </row>
    <row r="39" spans="1:4" x14ac:dyDescent="0.2">
      <c r="A39" t="s">
        <v>49</v>
      </c>
      <c r="B39" t="s">
        <v>63</v>
      </c>
      <c r="C39">
        <v>4</v>
      </c>
      <c r="D39">
        <v>0</v>
      </c>
    </row>
    <row r="40" spans="1:4" x14ac:dyDescent="0.2">
      <c r="A40" t="s">
        <v>47</v>
      </c>
      <c r="B40" t="s">
        <v>63</v>
      </c>
      <c r="C40">
        <v>5</v>
      </c>
      <c r="D40">
        <v>0</v>
      </c>
    </row>
    <row r="41" spans="1:4" x14ac:dyDescent="0.2">
      <c r="A41" t="s">
        <v>48</v>
      </c>
      <c r="B41" t="s">
        <v>63</v>
      </c>
      <c r="C41">
        <v>5</v>
      </c>
      <c r="D41">
        <v>0</v>
      </c>
    </row>
    <row r="42" spans="1:4" x14ac:dyDescent="0.2">
      <c r="A42" t="s">
        <v>49</v>
      </c>
      <c r="B42" t="s">
        <v>63</v>
      </c>
      <c r="C42">
        <v>5</v>
      </c>
      <c r="D42">
        <v>0</v>
      </c>
    </row>
    <row r="43" spans="1:4" x14ac:dyDescent="0.2">
      <c r="A43" t="s">
        <v>47</v>
      </c>
      <c r="B43" t="s">
        <v>63</v>
      </c>
      <c r="C43">
        <v>6</v>
      </c>
      <c r="D43">
        <v>0</v>
      </c>
    </row>
    <row r="44" spans="1:4" x14ac:dyDescent="0.2">
      <c r="A44" t="s">
        <v>48</v>
      </c>
      <c r="B44" t="s">
        <v>63</v>
      </c>
      <c r="C44">
        <v>6</v>
      </c>
      <c r="D44">
        <v>0</v>
      </c>
    </row>
    <row r="45" spans="1:4" x14ac:dyDescent="0.2">
      <c r="A45" t="s">
        <v>49</v>
      </c>
      <c r="B45" t="s">
        <v>63</v>
      </c>
      <c r="C45">
        <v>6</v>
      </c>
      <c r="D45">
        <v>0</v>
      </c>
    </row>
    <row r="46" spans="1:4" x14ac:dyDescent="0.2">
      <c r="A46" t="s">
        <v>47</v>
      </c>
      <c r="B46" t="s">
        <v>63</v>
      </c>
      <c r="C46">
        <v>7</v>
      </c>
      <c r="D46">
        <v>0</v>
      </c>
    </row>
    <row r="47" spans="1:4" x14ac:dyDescent="0.2">
      <c r="A47" t="s">
        <v>48</v>
      </c>
      <c r="B47" t="s">
        <v>63</v>
      </c>
      <c r="C47">
        <v>7</v>
      </c>
      <c r="D47">
        <v>0</v>
      </c>
    </row>
    <row r="48" spans="1:4" x14ac:dyDescent="0.2">
      <c r="A48" t="s">
        <v>49</v>
      </c>
      <c r="B48" t="s">
        <v>63</v>
      </c>
      <c r="C48">
        <v>7</v>
      </c>
      <c r="D48">
        <v>0</v>
      </c>
    </row>
    <row r="49" spans="1:4" x14ac:dyDescent="0.2">
      <c r="A49" t="s">
        <v>47</v>
      </c>
      <c r="B49" t="s">
        <v>63</v>
      </c>
      <c r="C49">
        <v>8</v>
      </c>
      <c r="D49">
        <v>0</v>
      </c>
    </row>
    <row r="50" spans="1:4" x14ac:dyDescent="0.2">
      <c r="A50" t="s">
        <v>48</v>
      </c>
      <c r="B50" t="s">
        <v>63</v>
      </c>
      <c r="C50">
        <v>8</v>
      </c>
      <c r="D50">
        <v>0</v>
      </c>
    </row>
    <row r="51" spans="1:4" x14ac:dyDescent="0.2">
      <c r="A51" t="s">
        <v>49</v>
      </c>
      <c r="B51" t="s">
        <v>63</v>
      </c>
      <c r="C51">
        <v>8</v>
      </c>
      <c r="D51">
        <v>0</v>
      </c>
    </row>
  </sheetData>
  <autoFilter ref="A1:D48" xr:uid="{51831CCE-7FE7-41EF-9B3B-86D3479079F9}"/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tabSelected="1" topLeftCell="A28" zoomScale="184" zoomScaleNormal="184" workbookViewId="0">
      <selection activeCell="F38" sqref="F38"/>
    </sheetView>
  </sheetViews>
  <sheetFormatPr baseColWidth="10" defaultColWidth="10.83203125" defaultRowHeight="15" x14ac:dyDescent="0.2"/>
  <cols>
    <col min="1" max="1" width="10.5" bestFit="1" customWidth="1"/>
    <col min="2" max="2" width="23.33203125" customWidth="1"/>
    <col min="3" max="3" width="25.83203125" bestFit="1" customWidth="1"/>
    <col min="4" max="4" width="14.6640625" customWidth="1"/>
    <col min="6" max="6" width="7.1640625" customWidth="1"/>
  </cols>
  <sheetData>
    <row r="1" spans="1:6" x14ac:dyDescent="0.2">
      <c r="A1" t="s">
        <v>64</v>
      </c>
    </row>
    <row r="2" spans="1:6" x14ac:dyDescent="0.2">
      <c r="A2" t="s">
        <v>65</v>
      </c>
      <c r="E2" s="10"/>
      <c r="F2" t="s">
        <v>66</v>
      </c>
    </row>
    <row r="3" spans="1:6" ht="32" x14ac:dyDescent="0.2">
      <c r="A3" s="1" t="s">
        <v>45</v>
      </c>
      <c r="B3" t="s">
        <v>2</v>
      </c>
      <c r="C3" s="1" t="s">
        <v>67</v>
      </c>
      <c r="E3" s="11"/>
      <c r="F3" t="s">
        <v>68</v>
      </c>
    </row>
    <row r="4" spans="1:6" x14ac:dyDescent="0.2">
      <c r="A4" t="s">
        <v>47</v>
      </c>
      <c r="B4" t="s">
        <v>22</v>
      </c>
      <c r="C4" s="6">
        <v>200000</v>
      </c>
      <c r="E4" s="12"/>
      <c r="F4" t="s">
        <v>92</v>
      </c>
    </row>
    <row r="5" spans="1:6" x14ac:dyDescent="0.2">
      <c r="A5" t="s">
        <v>48</v>
      </c>
      <c r="B5" t="s">
        <v>22</v>
      </c>
      <c r="C5" s="6">
        <v>200000</v>
      </c>
    </row>
    <row r="6" spans="1:6" x14ac:dyDescent="0.2">
      <c r="A6" t="s">
        <v>49</v>
      </c>
      <c r="B6" t="s">
        <v>22</v>
      </c>
      <c r="C6" s="6">
        <v>200000</v>
      </c>
      <c r="E6" s="14"/>
      <c r="F6" t="s">
        <v>69</v>
      </c>
    </row>
    <row r="7" spans="1:6" x14ac:dyDescent="0.2">
      <c r="A7" t="s">
        <v>47</v>
      </c>
      <c r="B7" t="s">
        <v>63</v>
      </c>
      <c r="C7">
        <v>800000</v>
      </c>
    </row>
    <row r="8" spans="1:6" x14ac:dyDescent="0.2">
      <c r="A8" t="s">
        <v>48</v>
      </c>
      <c r="B8" t="s">
        <v>63</v>
      </c>
      <c r="C8">
        <v>800000</v>
      </c>
    </row>
    <row r="9" spans="1:6" x14ac:dyDescent="0.2">
      <c r="A9" t="s">
        <v>49</v>
      </c>
      <c r="B9" t="s">
        <v>63</v>
      </c>
      <c r="C9">
        <v>800000</v>
      </c>
    </row>
    <row r="10" spans="1:6" x14ac:dyDescent="0.2">
      <c r="A10" t="s">
        <v>47</v>
      </c>
      <c r="B10" t="s">
        <v>19</v>
      </c>
      <c r="C10" s="8">
        <v>300</v>
      </c>
    </row>
    <row r="11" spans="1:6" x14ac:dyDescent="0.2">
      <c r="A11" t="s">
        <v>49</v>
      </c>
      <c r="B11" t="s">
        <v>19</v>
      </c>
      <c r="C11" s="8">
        <v>80</v>
      </c>
    </row>
    <row r="12" spans="1:6" x14ac:dyDescent="0.2">
      <c r="A12" t="s">
        <v>47</v>
      </c>
      <c r="B12" t="s">
        <v>8</v>
      </c>
      <c r="C12" s="5">
        <v>200000</v>
      </c>
    </row>
    <row r="13" spans="1:6" x14ac:dyDescent="0.2">
      <c r="A13" t="s">
        <v>48</v>
      </c>
      <c r="B13" t="s">
        <v>8</v>
      </c>
      <c r="C13" s="5">
        <v>200000</v>
      </c>
    </row>
    <row r="14" spans="1:6" x14ac:dyDescent="0.2">
      <c r="A14" t="s">
        <v>49</v>
      </c>
      <c r="B14" t="s">
        <v>8</v>
      </c>
      <c r="C14" s="5">
        <v>200000</v>
      </c>
    </row>
    <row r="15" spans="1:6" x14ac:dyDescent="0.2">
      <c r="A15" t="s">
        <v>47</v>
      </c>
      <c r="B15" t="s">
        <v>70</v>
      </c>
      <c r="C15" s="5">
        <v>200000</v>
      </c>
    </row>
    <row r="16" spans="1:6" x14ac:dyDescent="0.2">
      <c r="A16" t="s">
        <v>48</v>
      </c>
      <c r="B16" t="s">
        <v>70</v>
      </c>
      <c r="C16" s="5">
        <v>200000</v>
      </c>
    </row>
    <row r="17" spans="1:3" x14ac:dyDescent="0.2">
      <c r="A17" t="s">
        <v>49</v>
      </c>
      <c r="B17" t="s">
        <v>70</v>
      </c>
      <c r="C17" s="5">
        <v>200000</v>
      </c>
    </row>
    <row r="18" spans="1:3" x14ac:dyDescent="0.2">
      <c r="A18" t="s">
        <v>49</v>
      </c>
      <c r="B18" t="s">
        <v>18</v>
      </c>
      <c r="C18" s="8">
        <v>450</v>
      </c>
    </row>
    <row r="19" spans="1:3" x14ac:dyDescent="0.2">
      <c r="A19" t="s">
        <v>47</v>
      </c>
      <c r="B19" t="s">
        <v>62</v>
      </c>
      <c r="C19">
        <v>1000000</v>
      </c>
    </row>
    <row r="20" spans="1:3" x14ac:dyDescent="0.2">
      <c r="A20" t="s">
        <v>48</v>
      </c>
      <c r="B20" t="s">
        <v>62</v>
      </c>
      <c r="C20">
        <v>1000000</v>
      </c>
    </row>
    <row r="21" spans="1:3" x14ac:dyDescent="0.2">
      <c r="A21" t="s">
        <v>49</v>
      </c>
      <c r="B21" t="s">
        <v>62</v>
      </c>
      <c r="C21">
        <v>1000000</v>
      </c>
    </row>
    <row r="22" spans="1:3" x14ac:dyDescent="0.2">
      <c r="A22" t="s">
        <v>47</v>
      </c>
      <c r="B22" t="s">
        <v>71</v>
      </c>
      <c r="C22">
        <v>200000</v>
      </c>
    </row>
    <row r="23" spans="1:3" x14ac:dyDescent="0.2">
      <c r="A23" t="s">
        <v>48</v>
      </c>
      <c r="B23" t="s">
        <v>71</v>
      </c>
      <c r="C23">
        <v>200000</v>
      </c>
    </row>
    <row r="24" spans="1:3" x14ac:dyDescent="0.2">
      <c r="A24" t="s">
        <v>49</v>
      </c>
      <c r="B24" t="s">
        <v>71</v>
      </c>
      <c r="C24">
        <v>200000</v>
      </c>
    </row>
    <row r="25" spans="1:3" x14ac:dyDescent="0.2">
      <c r="A25" t="s">
        <v>47</v>
      </c>
      <c r="B25" t="s">
        <v>72</v>
      </c>
      <c r="C25" s="5">
        <v>200000</v>
      </c>
    </row>
    <row r="26" spans="1:3" x14ac:dyDescent="0.2">
      <c r="A26" t="s">
        <v>48</v>
      </c>
      <c r="B26" t="s">
        <v>72</v>
      </c>
      <c r="C26" s="5">
        <v>200000</v>
      </c>
    </row>
    <row r="27" spans="1:3" x14ac:dyDescent="0.2">
      <c r="A27" t="s">
        <v>49</v>
      </c>
      <c r="B27" t="s">
        <v>72</v>
      </c>
      <c r="C27" s="5">
        <v>200000</v>
      </c>
    </row>
    <row r="28" spans="1:3" x14ac:dyDescent="0.2">
      <c r="A28" t="s">
        <v>47</v>
      </c>
      <c r="B28" t="s">
        <v>73</v>
      </c>
      <c r="C28" s="3">
        <v>2211.1999999999998</v>
      </c>
    </row>
    <row r="29" spans="1:3" x14ac:dyDescent="0.2">
      <c r="A29" t="s">
        <v>49</v>
      </c>
      <c r="B29" t="s">
        <v>73</v>
      </c>
      <c r="C29" s="3">
        <v>20711.65593789937</v>
      </c>
    </row>
    <row r="30" spans="1:3" x14ac:dyDescent="0.2">
      <c r="A30" t="s">
        <v>47</v>
      </c>
      <c r="B30" t="s">
        <v>74</v>
      </c>
      <c r="C30" s="4">
        <v>4151.3590114827766</v>
      </c>
    </row>
    <row r="31" spans="1:3" x14ac:dyDescent="0.2">
      <c r="A31" t="s">
        <v>48</v>
      </c>
      <c r="B31" t="s">
        <v>74</v>
      </c>
      <c r="C31" s="4">
        <v>9</v>
      </c>
    </row>
    <row r="32" spans="1:3" x14ac:dyDescent="0.2">
      <c r="A32" t="s">
        <v>49</v>
      </c>
      <c r="B32" t="s">
        <v>74</v>
      </c>
      <c r="C32" s="4">
        <v>15718.688124201259</v>
      </c>
    </row>
    <row r="33" spans="1:5" x14ac:dyDescent="0.2">
      <c r="A33" t="s">
        <v>47</v>
      </c>
      <c r="B33" t="s">
        <v>5</v>
      </c>
      <c r="C33" s="5">
        <v>200000</v>
      </c>
    </row>
    <row r="34" spans="1:5" x14ac:dyDescent="0.2">
      <c r="A34" t="s">
        <v>47</v>
      </c>
      <c r="B34" t="s">
        <v>75</v>
      </c>
      <c r="C34" s="6">
        <v>200000</v>
      </c>
    </row>
    <row r="35" spans="1:5" x14ac:dyDescent="0.2">
      <c r="A35" t="s">
        <v>48</v>
      </c>
      <c r="B35" t="s">
        <v>75</v>
      </c>
      <c r="C35" s="6">
        <v>200000</v>
      </c>
    </row>
    <row r="36" spans="1:5" x14ac:dyDescent="0.2">
      <c r="A36" t="s">
        <v>49</v>
      </c>
      <c r="B36" t="s">
        <v>75</v>
      </c>
      <c r="C36" s="6">
        <v>200000</v>
      </c>
    </row>
    <row r="37" spans="1:5" x14ac:dyDescent="0.2">
      <c r="A37" t="s">
        <v>47</v>
      </c>
      <c r="B37" t="s">
        <v>24</v>
      </c>
      <c r="C37" s="6">
        <f>1*D37</f>
        <v>1373000</v>
      </c>
      <c r="D37" s="9">
        <v>1373000</v>
      </c>
    </row>
    <row r="38" spans="1:5" x14ac:dyDescent="0.2">
      <c r="A38" t="s">
        <v>48</v>
      </c>
      <c r="B38" t="s">
        <v>24</v>
      </c>
      <c r="C38" s="6">
        <f>D38+0.035281356*1303000</f>
        <v>115971.606868</v>
      </c>
      <c r="D38" s="9">
        <v>70000</v>
      </c>
    </row>
    <row r="39" spans="1:5" x14ac:dyDescent="0.2">
      <c r="A39" t="s">
        <v>49</v>
      </c>
      <c r="B39" t="s">
        <v>24</v>
      </c>
      <c r="C39" s="6">
        <f>1*D39</f>
        <v>1128000</v>
      </c>
      <c r="D39" s="9">
        <v>1128000</v>
      </c>
    </row>
    <row r="40" spans="1:5" x14ac:dyDescent="0.2">
      <c r="A40" t="s">
        <v>47</v>
      </c>
      <c r="B40" t="s">
        <v>93</v>
      </c>
      <c r="C40" s="7">
        <f>(45.77+6.98+15.22+30.2+29.39+88.69+42.95+37.32+32.25+4.42+26.32+17.2)*6</f>
        <v>2260.2599999999998</v>
      </c>
    </row>
    <row r="41" spans="1:5" x14ac:dyDescent="0.2">
      <c r="A41" t="s">
        <v>48</v>
      </c>
      <c r="B41" t="s">
        <v>93</v>
      </c>
      <c r="C41" s="7">
        <f>(57.22+113.41+52.24+6.95+115.94+13.75+101.09+65.61+32.17+91.87+33.9+25.93+76.79+178.82+182.53+62.75+43.3+17.62+0.36+0.06+118.68+414.61+124.83)*6</f>
        <v>11582.579999999996</v>
      </c>
      <c r="E41" t="s">
        <v>94</v>
      </c>
    </row>
    <row r="42" spans="1:5" x14ac:dyDescent="0.2">
      <c r="A42" t="s">
        <v>49</v>
      </c>
      <c r="B42" t="s">
        <v>93</v>
      </c>
      <c r="C42" s="7">
        <f>40500+17400</f>
        <v>57900</v>
      </c>
    </row>
    <row r="43" spans="1:5" x14ac:dyDescent="0.2">
      <c r="A43" t="s">
        <v>47</v>
      </c>
      <c r="B43" t="s">
        <v>76</v>
      </c>
      <c r="C43" s="21">
        <v>107000</v>
      </c>
    </row>
    <row r="44" spans="1:5" x14ac:dyDescent="0.2">
      <c r="A44" t="s">
        <v>48</v>
      </c>
      <c r="B44" t="s">
        <v>76</v>
      </c>
      <c r="C44" s="20">
        <v>55000</v>
      </c>
    </row>
    <row r="45" spans="1:5" x14ac:dyDescent="0.2">
      <c r="A45" t="s">
        <v>49</v>
      </c>
      <c r="B45" t="s">
        <v>76</v>
      </c>
      <c r="C45" s="20">
        <v>813000</v>
      </c>
    </row>
    <row r="46" spans="1:5" x14ac:dyDescent="0.2">
      <c r="A46" t="s">
        <v>47</v>
      </c>
      <c r="B46" t="s">
        <v>25</v>
      </c>
      <c r="C46" s="17">
        <v>1873.2</v>
      </c>
    </row>
    <row r="47" spans="1:5" x14ac:dyDescent="0.2">
      <c r="A47" t="s">
        <v>48</v>
      </c>
      <c r="B47" t="s">
        <v>25</v>
      </c>
      <c r="C47" s="17">
        <v>339.15000000000003</v>
      </c>
    </row>
    <row r="48" spans="1:5" x14ac:dyDescent="0.2">
      <c r="A48" t="s">
        <v>49</v>
      </c>
      <c r="B48" t="s">
        <v>25</v>
      </c>
      <c r="C48" s="17">
        <v>927.15000000000009</v>
      </c>
    </row>
    <row r="49" spans="1:3" x14ac:dyDescent="0.2">
      <c r="A49" t="s">
        <v>47</v>
      </c>
      <c r="B49" t="s">
        <v>17</v>
      </c>
      <c r="C49" s="13">
        <v>0</v>
      </c>
    </row>
    <row r="50" spans="1:3" x14ac:dyDescent="0.2">
      <c r="A50" t="s">
        <v>48</v>
      </c>
      <c r="B50" t="s">
        <v>17</v>
      </c>
      <c r="C50">
        <v>200000</v>
      </c>
    </row>
    <row r="51" spans="1:3" x14ac:dyDescent="0.2">
      <c r="A51" t="s">
        <v>49</v>
      </c>
      <c r="B51" t="s">
        <v>17</v>
      </c>
      <c r="C51">
        <v>200000</v>
      </c>
    </row>
  </sheetData>
  <autoFilter ref="A1:C48" xr:uid="{9287B301-A659-4D10-8530-31B689A6DDA1}"/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/>
  </sheetViews>
  <sheetFormatPr baseColWidth="10" defaultColWidth="10.83203125" defaultRowHeight="15" x14ac:dyDescent="0.2"/>
  <cols>
    <col min="1" max="1" width="20.5" bestFit="1" customWidth="1"/>
    <col min="2" max="2" width="8.83203125" bestFit="1" customWidth="1"/>
  </cols>
  <sheetData>
    <row r="1" spans="1:2" x14ac:dyDescent="0.2">
      <c r="A1" t="s">
        <v>27</v>
      </c>
    </row>
    <row r="2" spans="1:2" x14ac:dyDescent="0.2">
      <c r="A2" t="s">
        <v>77</v>
      </c>
    </row>
    <row r="3" spans="1:2" ht="16" x14ac:dyDescent="0.2">
      <c r="A3" t="s">
        <v>78</v>
      </c>
      <c r="B3" s="1" t="s">
        <v>79</v>
      </c>
    </row>
    <row r="4" spans="1:2" x14ac:dyDescent="0.2">
      <c r="A4" t="s">
        <v>30</v>
      </c>
      <c r="B4" s="2">
        <v>0.7</v>
      </c>
    </row>
    <row r="5" spans="1:2" x14ac:dyDescent="0.2">
      <c r="A5" t="s">
        <v>5</v>
      </c>
      <c r="B5" s="2">
        <v>0.7</v>
      </c>
    </row>
    <row r="6" spans="1:2" x14ac:dyDescent="0.2">
      <c r="A6" t="s">
        <v>6</v>
      </c>
      <c r="B6" s="2">
        <v>0.7</v>
      </c>
    </row>
    <row r="7" spans="1:2" x14ac:dyDescent="0.2">
      <c r="A7" t="s">
        <v>31</v>
      </c>
      <c r="B7" s="2">
        <v>0.7</v>
      </c>
    </row>
    <row r="8" spans="1:2" x14ac:dyDescent="0.2">
      <c r="A8" t="s">
        <v>8</v>
      </c>
      <c r="B8" s="2">
        <v>0.7</v>
      </c>
    </row>
    <row r="9" spans="1:2" x14ac:dyDescent="0.2">
      <c r="A9" t="s">
        <v>9</v>
      </c>
      <c r="B9" s="2">
        <v>0.7</v>
      </c>
    </row>
    <row r="10" spans="1:2" x14ac:dyDescent="0.2">
      <c r="A10" t="s">
        <v>32</v>
      </c>
      <c r="B10" s="2">
        <v>0.85</v>
      </c>
    </row>
    <row r="11" spans="1:2" x14ac:dyDescent="0.2">
      <c r="A11" t="s">
        <v>11</v>
      </c>
      <c r="B11" s="2">
        <v>1</v>
      </c>
    </row>
    <row r="12" spans="1:2" x14ac:dyDescent="0.2">
      <c r="A12" t="s">
        <v>12</v>
      </c>
      <c r="B12" s="2">
        <v>0.85</v>
      </c>
    </row>
    <row r="13" spans="1:2" x14ac:dyDescent="0.2">
      <c r="A13" t="s">
        <v>13</v>
      </c>
      <c r="B13" s="2">
        <v>0.85</v>
      </c>
    </row>
    <row r="14" spans="1:2" x14ac:dyDescent="0.2">
      <c r="A14" t="s">
        <v>33</v>
      </c>
      <c r="B14" s="2">
        <v>0.85</v>
      </c>
    </row>
    <row r="15" spans="1:2" x14ac:dyDescent="0.2">
      <c r="A15" t="s">
        <v>34</v>
      </c>
      <c r="B15" s="2">
        <v>0.85</v>
      </c>
    </row>
    <row r="16" spans="1:2" x14ac:dyDescent="0.2">
      <c r="A16" t="s">
        <v>15</v>
      </c>
      <c r="B16" s="2">
        <v>0.85</v>
      </c>
    </row>
    <row r="17" spans="1:2" x14ac:dyDescent="0.2">
      <c r="A17" t="s">
        <v>17</v>
      </c>
      <c r="B17" s="2">
        <v>0.3</v>
      </c>
    </row>
    <row r="18" spans="1:2" x14ac:dyDescent="0.2">
      <c r="A18" t="s">
        <v>19</v>
      </c>
      <c r="B18" s="2">
        <v>1</v>
      </c>
    </row>
    <row r="19" spans="1:2" x14ac:dyDescent="0.2">
      <c r="A19" t="s">
        <v>22</v>
      </c>
      <c r="B19" s="2">
        <v>0.7</v>
      </c>
    </row>
    <row r="20" spans="1:2" x14ac:dyDescent="0.2">
      <c r="A20" t="s">
        <v>16</v>
      </c>
      <c r="B20" s="2">
        <v>0.85</v>
      </c>
    </row>
    <row r="21" spans="1:2" x14ac:dyDescent="0.2">
      <c r="A21" t="s">
        <v>6</v>
      </c>
      <c r="B21" s="2">
        <v>0.7</v>
      </c>
    </row>
    <row r="22" spans="1:2" x14ac:dyDescent="0.2">
      <c r="A22" t="s">
        <v>10</v>
      </c>
      <c r="B22" s="2">
        <v>0.7</v>
      </c>
    </row>
    <row r="23" spans="1:2" x14ac:dyDescent="0.2">
      <c r="A23" t="s">
        <v>14</v>
      </c>
      <c r="B23" s="2">
        <v>0.85</v>
      </c>
    </row>
    <row r="24" spans="1:2" x14ac:dyDescent="0.2">
      <c r="A24" t="s">
        <v>25</v>
      </c>
      <c r="B24" s="2">
        <v>0.85</v>
      </c>
    </row>
  </sheetData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baseColWidth="10" defaultColWidth="10.5" defaultRowHeight="15" x14ac:dyDescent="0.2"/>
  <cols>
    <col min="1" max="1" width="20.5" bestFit="1" customWidth="1"/>
    <col min="2" max="2" width="21.5" bestFit="1" customWidth="1"/>
  </cols>
  <sheetData>
    <row r="1" spans="1:2" x14ac:dyDescent="0.2">
      <c r="A1" t="s">
        <v>27</v>
      </c>
    </row>
    <row r="2" spans="1:2" x14ac:dyDescent="0.2">
      <c r="A2" t="s">
        <v>80</v>
      </c>
    </row>
    <row r="3" spans="1:2" x14ac:dyDescent="0.2">
      <c r="A3" t="s">
        <v>81</v>
      </c>
      <c r="B3" t="s">
        <v>82</v>
      </c>
    </row>
    <row r="4" spans="1:2" x14ac:dyDescent="0.2">
      <c r="A4" t="s">
        <v>30</v>
      </c>
      <c r="B4">
        <v>0.75</v>
      </c>
    </row>
    <row r="5" spans="1:2" x14ac:dyDescent="0.2">
      <c r="A5" t="s">
        <v>5</v>
      </c>
      <c r="B5">
        <v>0.8</v>
      </c>
    </row>
    <row r="6" spans="1:2" x14ac:dyDescent="0.2">
      <c r="A6" t="s">
        <v>6</v>
      </c>
      <c r="B6">
        <v>0.8</v>
      </c>
    </row>
    <row r="7" spans="1:2" x14ac:dyDescent="0.2">
      <c r="A7" t="s">
        <v>31</v>
      </c>
      <c r="B7">
        <v>0.75</v>
      </c>
    </row>
    <row r="8" spans="1:2" x14ac:dyDescent="0.2">
      <c r="A8" t="s">
        <v>8</v>
      </c>
      <c r="B8">
        <v>0.75</v>
      </c>
    </row>
    <row r="9" spans="1:2" x14ac:dyDescent="0.2">
      <c r="A9" t="s">
        <v>9</v>
      </c>
      <c r="B9">
        <v>0.8</v>
      </c>
    </row>
    <row r="10" spans="1:2" x14ac:dyDescent="0.2">
      <c r="A10" t="s">
        <v>32</v>
      </c>
      <c r="B10">
        <v>0.8</v>
      </c>
    </row>
    <row r="11" spans="1:2" x14ac:dyDescent="0.2">
      <c r="A11" t="s">
        <v>11</v>
      </c>
      <c r="B11">
        <v>0.85</v>
      </c>
    </row>
    <row r="12" spans="1:2" x14ac:dyDescent="0.2">
      <c r="A12" t="s">
        <v>12</v>
      </c>
      <c r="B12">
        <v>0.85</v>
      </c>
    </row>
    <row r="13" spans="1:2" x14ac:dyDescent="0.2">
      <c r="A13" t="s">
        <v>13</v>
      </c>
      <c r="B13">
        <v>0.85</v>
      </c>
    </row>
    <row r="14" spans="1:2" x14ac:dyDescent="0.2">
      <c r="A14" t="s">
        <v>33</v>
      </c>
      <c r="B14">
        <v>0.85</v>
      </c>
    </row>
    <row r="15" spans="1:2" x14ac:dyDescent="0.2">
      <c r="A15" t="s">
        <v>34</v>
      </c>
      <c r="B15">
        <v>0.8</v>
      </c>
    </row>
    <row r="16" spans="1:2" x14ac:dyDescent="0.2">
      <c r="A16" t="s">
        <v>15</v>
      </c>
      <c r="B16">
        <v>0.8</v>
      </c>
    </row>
    <row r="17" spans="1:2" x14ac:dyDescent="0.2">
      <c r="A17" t="s">
        <v>17</v>
      </c>
      <c r="B17">
        <v>0.75</v>
      </c>
    </row>
    <row r="18" spans="1:2" x14ac:dyDescent="0.2">
      <c r="A18" t="s">
        <v>18</v>
      </c>
      <c r="B18">
        <v>0.33</v>
      </c>
    </row>
    <row r="19" spans="1:2" x14ac:dyDescent="0.2">
      <c r="A19" t="s">
        <v>19</v>
      </c>
      <c r="B19">
        <v>0.8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0.8</v>
      </c>
    </row>
    <row r="23" spans="1:2" x14ac:dyDescent="0.2">
      <c r="A23" t="s">
        <v>23</v>
      </c>
      <c r="B23">
        <v>0</v>
      </c>
    </row>
    <row r="24" spans="1:2" x14ac:dyDescent="0.2">
      <c r="A24" t="s">
        <v>88</v>
      </c>
      <c r="B24">
        <v>0</v>
      </c>
    </row>
    <row r="25" spans="1:2" x14ac:dyDescent="0.2">
      <c r="A25" t="s">
        <v>89</v>
      </c>
      <c r="B25">
        <v>0</v>
      </c>
    </row>
    <row r="26" spans="1:2" x14ac:dyDescent="0.2">
      <c r="A26" t="s">
        <v>24</v>
      </c>
      <c r="B26">
        <v>0</v>
      </c>
    </row>
    <row r="27" spans="1:2" x14ac:dyDescent="0.2">
      <c r="A27" t="s">
        <v>16</v>
      </c>
      <c r="B27">
        <v>0.8</v>
      </c>
    </row>
    <row r="28" spans="1:2" x14ac:dyDescent="0.2">
      <c r="A28" t="s">
        <v>7</v>
      </c>
      <c r="B28">
        <v>0.8</v>
      </c>
    </row>
    <row r="29" spans="1:2" x14ac:dyDescent="0.2">
      <c r="A29" t="s">
        <v>10</v>
      </c>
      <c r="B29">
        <v>0.8</v>
      </c>
    </row>
    <row r="30" spans="1:2" x14ac:dyDescent="0.2">
      <c r="A30" t="s">
        <v>14</v>
      </c>
      <c r="B30">
        <v>0.85</v>
      </c>
    </row>
    <row r="31" spans="1:2" x14ac:dyDescent="0.2">
      <c r="A31" t="s">
        <v>25</v>
      </c>
      <c r="B31">
        <v>0.95</v>
      </c>
    </row>
  </sheetData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workbookViewId="0">
      <selection activeCell="E42" sqref="E42"/>
    </sheetView>
  </sheetViews>
  <sheetFormatPr baseColWidth="10" defaultColWidth="10.5" defaultRowHeight="15" x14ac:dyDescent="0.2"/>
  <cols>
    <col min="1" max="1" width="18.1640625" bestFit="1" customWidth="1"/>
    <col min="2" max="2" width="20.1640625" bestFit="1" customWidth="1"/>
  </cols>
  <sheetData>
    <row r="1" spans="1:2" x14ac:dyDescent="0.2">
      <c r="A1" t="s">
        <v>83</v>
      </c>
    </row>
    <row r="2" spans="1:2" x14ac:dyDescent="0.2">
      <c r="A2" t="s">
        <v>84</v>
      </c>
    </row>
    <row r="3" spans="1:2" x14ac:dyDescent="0.2">
      <c r="A3" t="s">
        <v>2</v>
      </c>
      <c r="B3" t="s">
        <v>85</v>
      </c>
    </row>
    <row r="4" spans="1:2" x14ac:dyDescent="0.2">
      <c r="A4" t="s">
        <v>30</v>
      </c>
      <c r="B4">
        <f>101/1000</f>
        <v>0.10100000000000001</v>
      </c>
    </row>
    <row r="5" spans="1:2" x14ac:dyDescent="0.2">
      <c r="A5" t="s">
        <v>5</v>
      </c>
      <c r="B5">
        <f t="shared" ref="B5" si="0">101/1000</f>
        <v>0.10100000000000001</v>
      </c>
    </row>
    <row r="6" spans="1:2" x14ac:dyDescent="0.2">
      <c r="A6" t="s">
        <v>6</v>
      </c>
      <c r="B6">
        <f>101*0.1/1000</f>
        <v>1.0100000000000001E-2</v>
      </c>
    </row>
    <row r="7" spans="1:2" x14ac:dyDescent="0.2">
      <c r="A7" t="s">
        <v>7</v>
      </c>
      <c r="B7">
        <f>101*0.1/1000</f>
        <v>1.0100000000000001E-2</v>
      </c>
    </row>
    <row r="8" spans="1:2" x14ac:dyDescent="0.2">
      <c r="A8" t="s">
        <v>31</v>
      </c>
      <c r="B8">
        <f>98.3/1000</f>
        <v>9.8299999999999998E-2</v>
      </c>
    </row>
    <row r="9" spans="1:2" x14ac:dyDescent="0.2">
      <c r="A9" t="s">
        <v>8</v>
      </c>
      <c r="B9">
        <f t="shared" ref="B9" si="1">98.3/1000</f>
        <v>9.8299999999999998E-2</v>
      </c>
    </row>
    <row r="10" spans="1:2" x14ac:dyDescent="0.2">
      <c r="A10" t="s">
        <v>9</v>
      </c>
      <c r="B10">
        <f>98.3*0.1/1000</f>
        <v>9.8300000000000002E-3</v>
      </c>
    </row>
    <row r="11" spans="1:2" x14ac:dyDescent="0.2">
      <c r="A11" t="s">
        <v>10</v>
      </c>
      <c r="B11">
        <f>98.3*0.1/1000</f>
        <v>9.8300000000000002E-3</v>
      </c>
    </row>
    <row r="12" spans="1:2" x14ac:dyDescent="0.2">
      <c r="A12" t="s">
        <v>32</v>
      </c>
      <c r="B12">
        <f>56.1/1000</f>
        <v>5.6100000000000004E-2</v>
      </c>
    </row>
    <row r="13" spans="1:2" x14ac:dyDescent="0.2">
      <c r="A13" t="s">
        <v>11</v>
      </c>
      <c r="B13">
        <f t="shared" ref="B13:B14" si="2">56.1/1000</f>
        <v>5.6100000000000004E-2</v>
      </c>
    </row>
    <row r="14" spans="1:2" x14ac:dyDescent="0.2">
      <c r="A14" t="s">
        <v>12</v>
      </c>
      <c r="B14">
        <f t="shared" si="2"/>
        <v>5.6100000000000004E-2</v>
      </c>
    </row>
    <row r="15" spans="1:2" x14ac:dyDescent="0.2">
      <c r="A15" t="s">
        <v>13</v>
      </c>
      <c r="B15">
        <f>56.1*0.1/1000</f>
        <v>5.6100000000000004E-3</v>
      </c>
    </row>
    <row r="16" spans="1:2" x14ac:dyDescent="0.2">
      <c r="A16" t="s">
        <v>14</v>
      </c>
      <c r="B16">
        <f>56.1*0.1/1000</f>
        <v>5.6100000000000004E-3</v>
      </c>
    </row>
    <row r="17" spans="1:2" x14ac:dyDescent="0.2">
      <c r="A17" t="s">
        <v>33</v>
      </c>
      <c r="B17">
        <f>77.4/1000</f>
        <v>7.740000000000001E-2</v>
      </c>
    </row>
    <row r="18" spans="1:2" x14ac:dyDescent="0.2">
      <c r="A18" t="s">
        <v>34</v>
      </c>
      <c r="B18">
        <v>0</v>
      </c>
    </row>
    <row r="19" spans="1:2" x14ac:dyDescent="0.2">
      <c r="A19" t="s">
        <v>15</v>
      </c>
      <c r="B19">
        <f>88.5/1000</f>
        <v>8.8499999999999995E-2</v>
      </c>
    </row>
    <row r="20" spans="1:2" x14ac:dyDescent="0.2">
      <c r="A20" t="s">
        <v>16</v>
      </c>
      <c r="B20">
        <f>88.5*0.1/1000</f>
        <v>8.8500000000000002E-3</v>
      </c>
    </row>
    <row r="21" spans="1:2" x14ac:dyDescent="0.2">
      <c r="A21" t="s">
        <v>17</v>
      </c>
      <c r="B21">
        <v>0</v>
      </c>
    </row>
    <row r="22" spans="1:2" x14ac:dyDescent="0.2">
      <c r="A22" t="s">
        <v>18</v>
      </c>
      <c r="B22">
        <v>0</v>
      </c>
    </row>
    <row r="23" spans="1:2" x14ac:dyDescent="0.2">
      <c r="A23" t="s">
        <v>19</v>
      </c>
      <c r="B23">
        <v>0</v>
      </c>
    </row>
    <row r="24" spans="1:2" x14ac:dyDescent="0.2">
      <c r="A24" t="s">
        <v>20</v>
      </c>
      <c r="B24">
        <v>0</v>
      </c>
    </row>
    <row r="25" spans="1:2" x14ac:dyDescent="0.2">
      <c r="A25" t="s">
        <v>21</v>
      </c>
      <c r="B25">
        <v>0</v>
      </c>
    </row>
    <row r="26" spans="1:2" x14ac:dyDescent="0.2">
      <c r="A26" t="s">
        <v>22</v>
      </c>
      <c r="B26">
        <v>0</v>
      </c>
    </row>
    <row r="27" spans="1:2" x14ac:dyDescent="0.2">
      <c r="A27" t="s">
        <v>23</v>
      </c>
      <c r="B27">
        <v>0</v>
      </c>
    </row>
    <row r="28" spans="1:2" x14ac:dyDescent="0.2">
      <c r="A28" t="s">
        <v>88</v>
      </c>
      <c r="B28">
        <v>0</v>
      </c>
    </row>
    <row r="29" spans="1:2" x14ac:dyDescent="0.2">
      <c r="A29" t="s">
        <v>89</v>
      </c>
      <c r="B29">
        <v>0</v>
      </c>
    </row>
    <row r="30" spans="1:2" x14ac:dyDescent="0.2">
      <c r="A30" t="s">
        <v>24</v>
      </c>
      <c r="B30">
        <v>0</v>
      </c>
    </row>
    <row r="31" spans="1:2" x14ac:dyDescent="0.2">
      <c r="A31" t="s">
        <v>25</v>
      </c>
      <c r="B31">
        <v>3.6999999999999998E-2</v>
      </c>
    </row>
  </sheetData>
  <autoFilter ref="A1:B255" xr:uid="{44FB08DB-D0F4-44C5-9830-AEB764E34A94}"/>
  <pageMargins left="0.7" right="0.7" top="0.78740157499999996" bottom="0.78740157499999996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F6EA-43A1-45AD-AE0E-6186EC1FBAD3}">
  <dimension ref="A1:B31"/>
  <sheetViews>
    <sheetView zoomScale="180" zoomScaleNormal="180" workbookViewId="0">
      <selection activeCell="F38" sqref="F38"/>
    </sheetView>
  </sheetViews>
  <sheetFormatPr baseColWidth="10" defaultColWidth="10.83203125" defaultRowHeight="15" x14ac:dyDescent="0.2"/>
  <cols>
    <col min="1" max="1" width="21" bestFit="1" customWidth="1"/>
    <col min="2" max="2" width="17.1640625" bestFit="1" customWidth="1"/>
  </cols>
  <sheetData>
    <row r="1" spans="1:2" x14ac:dyDescent="0.2">
      <c r="A1" t="s">
        <v>0</v>
      </c>
    </row>
    <row r="2" spans="1:2" x14ac:dyDescent="0.2">
      <c r="A2" t="s">
        <v>86</v>
      </c>
    </row>
    <row r="3" spans="1:2" x14ac:dyDescent="0.2">
      <c r="A3" t="s">
        <v>2</v>
      </c>
      <c r="B3" t="s">
        <v>87</v>
      </c>
    </row>
    <row r="4" spans="1:2" x14ac:dyDescent="0.2">
      <c r="A4" t="s">
        <v>30</v>
      </c>
      <c r="B4">
        <v>40</v>
      </c>
    </row>
    <row r="5" spans="1:2" x14ac:dyDescent="0.2">
      <c r="A5" t="s">
        <v>5</v>
      </c>
      <c r="B5">
        <v>40</v>
      </c>
    </row>
    <row r="6" spans="1:2" x14ac:dyDescent="0.2">
      <c r="A6" t="s">
        <v>6</v>
      </c>
      <c r="B6">
        <v>40</v>
      </c>
    </row>
    <row r="7" spans="1:2" x14ac:dyDescent="0.2">
      <c r="A7" t="s">
        <v>31</v>
      </c>
      <c r="B7">
        <v>40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40</v>
      </c>
    </row>
    <row r="10" spans="1:2" x14ac:dyDescent="0.2">
      <c r="A10" t="s">
        <v>32</v>
      </c>
      <c r="B10">
        <v>30</v>
      </c>
    </row>
    <row r="11" spans="1:2" x14ac:dyDescent="0.2">
      <c r="A11" t="s">
        <v>11</v>
      </c>
      <c r="B11">
        <v>30</v>
      </c>
    </row>
    <row r="12" spans="1:2" x14ac:dyDescent="0.2">
      <c r="A12" t="s">
        <v>12</v>
      </c>
      <c r="B12">
        <v>30</v>
      </c>
    </row>
    <row r="13" spans="1:2" x14ac:dyDescent="0.2">
      <c r="A13" t="s">
        <v>13</v>
      </c>
      <c r="B13">
        <v>30</v>
      </c>
    </row>
    <row r="14" spans="1:2" x14ac:dyDescent="0.2">
      <c r="A14" t="s">
        <v>33</v>
      </c>
      <c r="B14">
        <v>40</v>
      </c>
    </row>
    <row r="15" spans="1:2" x14ac:dyDescent="0.2">
      <c r="A15" t="s">
        <v>34</v>
      </c>
      <c r="B15">
        <v>40</v>
      </c>
    </row>
    <row r="16" spans="1:2" x14ac:dyDescent="0.2">
      <c r="A16" t="s">
        <v>15</v>
      </c>
      <c r="B16">
        <v>40</v>
      </c>
    </row>
    <row r="17" spans="1:2" x14ac:dyDescent="0.2">
      <c r="A17" t="s">
        <v>17</v>
      </c>
      <c r="B17">
        <v>60</v>
      </c>
    </row>
    <row r="18" spans="1:2" x14ac:dyDescent="0.2">
      <c r="A18" t="s">
        <v>18</v>
      </c>
      <c r="B18">
        <v>80</v>
      </c>
    </row>
    <row r="19" spans="1:2" x14ac:dyDescent="0.2">
      <c r="A19" t="s">
        <v>19</v>
      </c>
      <c r="B19">
        <v>30</v>
      </c>
    </row>
    <row r="20" spans="1:2" x14ac:dyDescent="0.2">
      <c r="A20" t="s">
        <v>20</v>
      </c>
      <c r="B20">
        <v>60</v>
      </c>
    </row>
    <row r="21" spans="1:2" x14ac:dyDescent="0.2">
      <c r="A21" t="s">
        <v>21</v>
      </c>
      <c r="B21">
        <v>50</v>
      </c>
    </row>
    <row r="22" spans="1:2" x14ac:dyDescent="0.2">
      <c r="A22" t="s">
        <v>22</v>
      </c>
      <c r="B22">
        <v>40</v>
      </c>
    </row>
    <row r="23" spans="1:2" x14ac:dyDescent="0.2">
      <c r="A23" t="s">
        <v>23</v>
      </c>
      <c r="B23">
        <v>25</v>
      </c>
    </row>
    <row r="24" spans="1:2" x14ac:dyDescent="0.2">
      <c r="A24" t="s">
        <v>88</v>
      </c>
      <c r="B24">
        <v>25</v>
      </c>
    </row>
    <row r="25" spans="1:2" x14ac:dyDescent="0.2">
      <c r="A25" t="s">
        <v>89</v>
      </c>
      <c r="B25">
        <v>25</v>
      </c>
    </row>
    <row r="26" spans="1:2" x14ac:dyDescent="0.2">
      <c r="A26" t="s">
        <v>24</v>
      </c>
      <c r="B26">
        <v>25</v>
      </c>
    </row>
    <row r="27" spans="1:2" x14ac:dyDescent="0.2">
      <c r="A27" t="s">
        <v>16</v>
      </c>
      <c r="B27">
        <v>40</v>
      </c>
    </row>
    <row r="28" spans="1:2" x14ac:dyDescent="0.2">
      <c r="A28" t="s">
        <v>7</v>
      </c>
      <c r="B28">
        <v>40</v>
      </c>
    </row>
    <row r="29" spans="1:2" x14ac:dyDescent="0.2">
      <c r="A29" t="s">
        <v>10</v>
      </c>
      <c r="B29">
        <v>40</v>
      </c>
    </row>
    <row r="30" spans="1:2" x14ac:dyDescent="0.2">
      <c r="A30" t="s">
        <v>14</v>
      </c>
      <c r="B30">
        <v>30</v>
      </c>
    </row>
    <row r="31" spans="1:2" x14ac:dyDescent="0.2">
      <c r="A31" t="s">
        <v>25</v>
      </c>
      <c r="B31">
        <v>20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6F967323C0D5D438811C071A0F9DCC2" ma:contentTypeVersion="9" ma:contentTypeDescription="Opprett et nytt dokument." ma:contentTypeScope="" ma:versionID="390af427c68d91651b27297d409805f1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04a8b543a4d6f9dfc96f99b4b97b7762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39319-07EB-4E9B-925F-012BB5E77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CDE1F9-D70D-404B-AB05-C44B6E2BDE51}">
  <ds:schemaRefs>
    <ds:schemaRef ds:uri="http://schemas.microsoft.com/office/2006/metadata/properties"/>
    <ds:schemaRef ds:uri="http://schemas.microsoft.com/office/infopath/2007/PartnerControls"/>
    <ds:schemaRef ds:uri="d8af0d66-b3db-4c81-87bc-15f9b72a49e2"/>
    <ds:schemaRef ds:uri="c1406b29-91bf-464c-9cd2-26ba5eb06139"/>
  </ds:schemaRefs>
</ds:datastoreItem>
</file>

<file path=customXml/itemProps3.xml><?xml version="1.0" encoding="utf-8"?>
<ds:datastoreItem xmlns:ds="http://schemas.openxmlformats.org/officeDocument/2006/customXml" ds:itemID="{ED7204C7-40B5-4FE8-B1A1-A7F0C63B03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CapitalCosts</vt:lpstr>
      <vt:lpstr>FixedOMCosts</vt:lpstr>
      <vt:lpstr>VariableOMCosts</vt:lpstr>
      <vt:lpstr>FuelCosts</vt:lpstr>
      <vt:lpstr>CCSCostTSVariable</vt:lpstr>
      <vt:lpstr>Efficiency</vt:lpstr>
      <vt:lpstr>RefInitialCap</vt:lpstr>
      <vt:lpstr>ScaleFactorInitialCap</vt:lpstr>
      <vt:lpstr>InitialCapacity</vt:lpstr>
      <vt:lpstr>MaxBuiltCapacity</vt:lpstr>
      <vt:lpstr>MaxInstalledCapacity</vt:lpstr>
      <vt:lpstr>RampRate</vt:lpstr>
      <vt:lpstr>GeneratorTypeAvailability</vt:lpstr>
      <vt:lpstr>CO2Content</vt:lpstr>
      <vt:lpstr>Lifetime</vt:lpstr>
      <vt:lpstr>gen</vt:lpstr>
      <vt:lpstr>initialCap2</vt:lpstr>
      <vt:lpstr>maxBuiltCap2</vt:lpstr>
      <vt:lpstr>maxInstalledCap2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2024-07-22T21:34:11Z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</Properties>
</file>
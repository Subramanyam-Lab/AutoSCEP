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taehyeonkwon/Downloads/"/>
    </mc:Choice>
  </mc:AlternateContent>
  <xr:revisionPtr revIDLastSave="0" documentId="13_ncr:1_{02CD83DD-8C80-A341-97BC-BFC568F50B3C}" xr6:coauthVersionLast="47" xr6:coauthVersionMax="47" xr10:uidLastSave="{00000000-0000-0000-0000-000000000000}"/>
  <bookViews>
    <workbookView xWindow="0" yWindow="680" windowWidth="14400" windowHeight="17960" tabRatio="804" firstSheet="4" activeTab="7" xr2:uid="{00000000-000D-0000-FFFF-FFFF00000000}"/>
  </bookViews>
  <sheets>
    <sheet name="lineEfficiency" sheetId="9" r:id="rId1"/>
    <sheet name="MaxBuiltCapacity" sheetId="6" r:id="rId2"/>
    <sheet name="Length" sheetId="11" r:id="rId3"/>
    <sheet name="TypeCapitalCost" sheetId="12" r:id="rId4"/>
    <sheet name="TypeFixedOMCost" sheetId="13" r:id="rId5"/>
    <sheet name="InitialCapacity" sheetId="4" r:id="rId6"/>
    <sheet name="MaxInstallCapacityRaw" sheetId="14" r:id="rId7"/>
    <sheet name="Lifetime" sheetId="15" r:id="rId8"/>
  </sheets>
  <definedNames>
    <definedName name="_xlnm._FilterDatabase" localSheetId="5" hidden="1">InitialCapacity!$A$1:$F$19</definedName>
    <definedName name="_xlnm._FilterDatabase" localSheetId="2" hidden="1">Length!$A$1:$C$193</definedName>
    <definedName name="_xlnm._FilterDatabase" localSheetId="7" hidden="1">Lifetime!$A$1:$C$88</definedName>
    <definedName name="_xlnm._FilterDatabase" localSheetId="0" hidden="1">lineEfficiency!$A$1:$C$383</definedName>
    <definedName name="_xlnm._FilterDatabase" localSheetId="1" hidden="1">MaxBuiltCapacity!$A$1:$D$193</definedName>
    <definedName name="_xlnm._FilterDatabase" localSheetId="6" hidden="1">MaxInstallCapacityRaw!$A$1:$D$19</definedName>
    <definedName name="gen">#REF!</definedName>
    <definedName name="initCap">#REF!</definedName>
    <definedName name="invCost">#REF!</definedName>
    <definedName name="line">Lifetime!$A$3:$C$8</definedName>
    <definedName name="line2">Lifetime!$A$3:$C$5</definedName>
    <definedName name="maxBuiltCap">#REF!</definedName>
    <definedName name="maxInstalledCa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3" i="14" l="1"/>
  <c r="H12" i="14"/>
  <c r="H4" i="14"/>
  <c r="F15" i="14" l="1"/>
  <c r="H15" i="14" s="1"/>
  <c r="F16" i="14"/>
  <c r="H16" i="14" s="1"/>
  <c r="F17" i="14"/>
  <c r="H17" i="14" s="1"/>
  <c r="F18" i="14"/>
  <c r="H18" i="14" s="1"/>
  <c r="F19" i="14"/>
  <c r="H19" i="14" s="1"/>
  <c r="F14" i="14"/>
  <c r="H14" i="14" s="1"/>
  <c r="F6" i="14"/>
  <c r="H6" i="14" s="1"/>
  <c r="F7" i="14"/>
  <c r="H7" i="14" s="1"/>
  <c r="F8" i="14"/>
  <c r="H8" i="14" s="1"/>
  <c r="F9" i="14"/>
  <c r="H9" i="14" s="1"/>
  <c r="F10" i="14"/>
  <c r="H10" i="14" s="1"/>
  <c r="F11" i="14"/>
  <c r="H11" i="14" s="1"/>
  <c r="F5" i="14"/>
  <c r="H5" i="14" s="1"/>
  <c r="D17" i="14" l="1"/>
  <c r="D4" i="14"/>
  <c r="D7" i="14"/>
  <c r="D5" i="14"/>
  <c r="D6" i="14"/>
  <c r="D19" i="14"/>
  <c r="D12" i="14"/>
  <c r="D10" i="14"/>
  <c r="D8" i="14"/>
  <c r="D13" i="14"/>
  <c r="D16" i="14"/>
  <c r="D18" i="14"/>
  <c r="D14" i="14"/>
  <c r="D11" i="14"/>
  <c r="D15" i="14"/>
  <c r="D9" i="14"/>
</calcChain>
</file>

<file path=xl/sharedStrings.xml><?xml version="1.0" encoding="utf-8"?>
<sst xmlns="http://schemas.openxmlformats.org/spreadsheetml/2006/main" count="180" uniqueCount="53">
  <si>
    <t>Source: Assumed</t>
  </si>
  <si>
    <t>Description: Efficiency of transmission exchange (percentage of delivered electricity to demand) (default: 0.97)</t>
  </si>
  <si>
    <t>FromNode</t>
  </si>
  <si>
    <t>ToNode</t>
  </si>
  <si>
    <t>lineEfficiency</t>
    <phoneticPr fontId="1" type="noConversion"/>
  </si>
  <si>
    <t>Germany</t>
  </si>
  <si>
    <t>France</t>
  </si>
  <si>
    <t>Denmark</t>
  </si>
  <si>
    <t>Description: Maximum capacity expansion of a transmission line in given investment period (default: 20 000)</t>
  </si>
  <si>
    <t>InterconnectorLinks</t>
  </si>
  <si>
    <t>Period</t>
  </si>
  <si>
    <t>TransmissionMaxBuiltCapacity in MW</t>
  </si>
  <si>
    <t>Source: See legend to the left</t>
  </si>
  <si>
    <t>HVAC overhead lines</t>
  </si>
  <si>
    <t>HVDC cables</t>
  </si>
  <si>
    <t>Description: The cost per MWkm of investing in a transmission types (default: 0)</t>
  </si>
  <si>
    <t>80 km</t>
  </si>
  <si>
    <t>130 km</t>
  </si>
  <si>
    <t>Type</t>
  </si>
  <si>
    <t>TypeCapitalCost in euro per MWkm</t>
  </si>
  <si>
    <t>50 k€/MW</t>
  </si>
  <si>
    <t>cables:220 k€/MW converters:140 k€/MW</t>
  </si>
  <si>
    <t>HVAC_OverheadLine</t>
  </si>
  <si>
    <t>15% CAPEX una tantum</t>
  </si>
  <si>
    <t>-</t>
  </si>
  <si>
    <t>5% CAPEX yearly</t>
  </si>
  <si>
    <t>7322 €/MW</t>
  </si>
  <si>
    <t>48190 €/MW</t>
  </si>
  <si>
    <t>HVDC_Cable</t>
  </si>
  <si>
    <t>Source: Assumed 5 % of capital cost (see TypeCapitalCost)</t>
  </si>
  <si>
    <t>Description: Fixed annual investment cost for operation and maintenance of transmission line types (default: 0)</t>
  </si>
  <si>
    <t>TypeFixedOMCost in euro per MW</t>
  </si>
  <si>
    <t>Source: SUSPLAN, ENTSO-E || Net transfer capacities (NTC) from ENTSOE</t>
  </si>
  <si>
    <t>TransmissionInitialCapacity</t>
    <phoneticPr fontId="2" type="noConversion"/>
  </si>
  <si>
    <t>Description: Initial (free) transmission capacity between nodes in investment period (default: 0)</t>
  </si>
  <si>
    <t>Source: ENTSO-E || DATA SOURCES: Capacities and expansion capacities from ENTSO-E Project Sheet 2018 and ENTSO-E Report "Completing the map" (2020); Initial capacities from TIMES (Norway), Data Portal ENTSOE; TSOs particular countries</t>
  </si>
  <si>
    <t>MaxRawNotAdjustWithInitCap in MW</t>
  </si>
  <si>
    <t>Baseline data (from ENTSO-E max values)</t>
  </si>
  <si>
    <t>Assumption</t>
  </si>
  <si>
    <t>Baseline + Assumption</t>
  </si>
  <si>
    <t>Commentaries</t>
  </si>
  <si>
    <t>source</t>
  </si>
  <si>
    <t>Description: Maximum allowed capacity of transmission between nodes in given investment period (default: 0)</t>
  </si>
  <si>
    <t>2000MW 2025, corresponding to projects under construction and expected to become effective by 2025</t>
  </si>
  <si>
    <t>1800MW 2030, additional capacity 2025</t>
  </si>
  <si>
    <t>Description: Lifetime in years of transmission lines (default: 40)</t>
  </si>
  <si>
    <t>To Node</t>
  </si>
  <si>
    <t>transmissionLifetime</t>
  </si>
  <si>
    <t>Capital to capital</t>
  </si>
  <si>
    <t>Offshore wind park</t>
  </si>
  <si>
    <t>Source: Distances defined by map</t>
  </si>
  <si>
    <t>Description:Assumed length of transmission line between two nodes (default:0)</t>
  </si>
  <si>
    <t>Length in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</si>
</sst>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1" xfId="0" applyFont="1" applyBorder="1"/>
    <xf numFmtId="0" fontId="0" fillId="2" borderId="0" xfId="0" applyFill="1"/>
    <xf numFmtId="0" fontId="0" fillId="0" borderId="2" xfId="0" applyBorder="1"/>
    <xf numFmtId="0" fontId="0" fillId="2" borderId="2" xfId="0" applyFill="1" applyBorder="1"/>
    <xf numFmtId="0" fontId="0" fillId="0" borderId="4" xfId="0" applyBorder="1"/>
    <xf numFmtId="0" fontId="8" fillId="0" borderId="0" xfId="0" applyFont="1"/>
    <xf numFmtId="0" fontId="8" fillId="0" borderId="3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7" fillId="0" borderId="8" xfId="0" applyFont="1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6" fillId="0" borderId="0" xfId="0" applyFont="1"/>
    <xf numFmtId="3" fontId="0" fillId="0" borderId="0" xfId="0" applyNumberFormat="1"/>
    <xf numFmtId="0" fontId="9" fillId="0" borderId="0" xfId="0" applyFont="1"/>
    <xf numFmtId="3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695325</xdr:colOff>
      <xdr:row>19</xdr:row>
      <xdr:rowOff>0</xdr:rowOff>
    </xdr:from>
    <xdr:to>
      <xdr:col>22</xdr:col>
      <xdr:colOff>570657</xdr:colOff>
      <xdr:row>58</xdr:row>
      <xdr:rowOff>157634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92A14F-83FE-4C7A-ADF8-2B65D75A3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4870" y="77173282"/>
          <a:ext cx="7772424" cy="782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"/>
  <sheetViews>
    <sheetView workbookViewId="0">
      <selection activeCell="F13" sqref="F13"/>
    </sheetView>
  </sheetViews>
  <sheetFormatPr baseColWidth="10" defaultColWidth="9.1640625" defaultRowHeight="15" x14ac:dyDescent="0.2"/>
  <cols>
    <col min="1" max="1" width="26.33203125" customWidth="1"/>
    <col min="2" max="2" width="17.5" bestFit="1" customWidth="1"/>
    <col min="3" max="3" width="11" bestFit="1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  <c r="B3" t="s">
        <v>3</v>
      </c>
      <c r="C3" t="s">
        <v>4</v>
      </c>
    </row>
    <row r="4" spans="1:3" x14ac:dyDescent="0.2">
      <c r="A4" t="s">
        <v>7</v>
      </c>
      <c r="B4" t="s">
        <v>5</v>
      </c>
      <c r="C4">
        <v>0.97</v>
      </c>
    </row>
    <row r="5" spans="1:3" x14ac:dyDescent="0.2">
      <c r="A5" t="s">
        <v>6</v>
      </c>
      <c r="B5" t="s">
        <v>5</v>
      </c>
      <c r="C5">
        <v>0.97</v>
      </c>
    </row>
    <row r="6" spans="1:3" x14ac:dyDescent="0.2">
      <c r="A6" t="s">
        <v>5</v>
      </c>
      <c r="B6" t="s">
        <v>7</v>
      </c>
      <c r="C6">
        <v>0.97</v>
      </c>
    </row>
    <row r="7" spans="1:3" x14ac:dyDescent="0.2">
      <c r="A7" t="s">
        <v>5</v>
      </c>
      <c r="B7" t="s">
        <v>6</v>
      </c>
      <c r="C7">
        <v>0.97</v>
      </c>
    </row>
    <row r="156" spans="2:2" x14ac:dyDescent="0.2">
      <c r="B156" s="20"/>
    </row>
  </sheetData>
  <autoFilter ref="A1:C383" xr:uid="{00000000-0001-0000-0000-000000000000}"/>
  <sortState xmlns:xlrd2="http://schemas.microsoft.com/office/spreadsheetml/2017/richdata2" ref="A4:C383">
    <sortCondition ref="B4:B383"/>
    <sortCondition ref="A4:A383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D11" sqref="D11"/>
    </sheetView>
  </sheetViews>
  <sheetFormatPr baseColWidth="10" defaultColWidth="9.1640625" defaultRowHeight="15" x14ac:dyDescent="0.2"/>
  <cols>
    <col min="1" max="1" width="16.6640625" customWidth="1"/>
    <col min="2" max="2" width="17" bestFit="1" customWidth="1"/>
    <col min="3" max="3" width="7.6640625" customWidth="1"/>
    <col min="4" max="4" width="30.6640625" bestFit="1" customWidth="1"/>
  </cols>
  <sheetData>
    <row r="1" spans="1:7" x14ac:dyDescent="0.2">
      <c r="A1" t="s">
        <v>0</v>
      </c>
    </row>
    <row r="2" spans="1:7" x14ac:dyDescent="0.2">
      <c r="A2" t="s">
        <v>8</v>
      </c>
    </row>
    <row r="3" spans="1:7" x14ac:dyDescent="0.2">
      <c r="A3" t="s">
        <v>9</v>
      </c>
      <c r="B3" t="s">
        <v>3</v>
      </c>
      <c r="C3" t="s">
        <v>10</v>
      </c>
      <c r="D3" t="s">
        <v>11</v>
      </c>
    </row>
    <row r="4" spans="1:7" x14ac:dyDescent="0.2">
      <c r="A4" t="s">
        <v>7</v>
      </c>
      <c r="B4" t="s">
        <v>5</v>
      </c>
      <c r="C4">
        <v>1</v>
      </c>
      <c r="D4">
        <v>20000</v>
      </c>
      <c r="F4" s="18"/>
      <c r="G4" s="18"/>
    </row>
    <row r="5" spans="1:7" x14ac:dyDescent="0.2">
      <c r="A5" t="s">
        <v>6</v>
      </c>
      <c r="B5" t="s">
        <v>5</v>
      </c>
      <c r="C5">
        <v>1</v>
      </c>
      <c r="D5">
        <v>20000</v>
      </c>
      <c r="F5" s="18"/>
      <c r="G5" s="18"/>
    </row>
    <row r="6" spans="1:7" x14ac:dyDescent="0.2">
      <c r="F6" s="18"/>
      <c r="G6" s="18"/>
    </row>
    <row r="7" spans="1:7" x14ac:dyDescent="0.2">
      <c r="F7" s="18"/>
      <c r="G7" s="18"/>
    </row>
    <row r="8" spans="1:7" x14ac:dyDescent="0.2">
      <c r="F8" s="18"/>
      <c r="G8" s="18"/>
    </row>
    <row r="9" spans="1:7" x14ac:dyDescent="0.2">
      <c r="F9" s="18"/>
      <c r="G9" s="18"/>
    </row>
    <row r="10" spans="1:7" x14ac:dyDescent="0.2">
      <c r="F10" s="18"/>
      <c r="G10" s="18"/>
    </row>
    <row r="11" spans="1:7" x14ac:dyDescent="0.2">
      <c r="F11" s="18"/>
      <c r="G11" s="18"/>
    </row>
    <row r="12" spans="1:7" x14ac:dyDescent="0.2">
      <c r="F12" s="18"/>
      <c r="G12" s="18"/>
    </row>
    <row r="13" spans="1:7" x14ac:dyDescent="0.2">
      <c r="F13" s="18"/>
      <c r="G13" s="18"/>
    </row>
    <row r="14" spans="1:7" x14ac:dyDescent="0.2">
      <c r="F14" s="18"/>
      <c r="G14" s="18"/>
    </row>
    <row r="15" spans="1:7" x14ac:dyDescent="0.2">
      <c r="F15" s="18"/>
      <c r="G15" s="18"/>
    </row>
    <row r="16" spans="1:7" x14ac:dyDescent="0.2">
      <c r="F16" s="18"/>
      <c r="G16" s="18"/>
    </row>
    <row r="17" spans="6:7" x14ac:dyDescent="0.2">
      <c r="F17" s="18"/>
      <c r="G17" s="18"/>
    </row>
  </sheetData>
  <autoFilter ref="A1:D193" xr:uid="{6B71C44B-B0E4-4176-9FE7-8BF17563E229}"/>
  <sortState xmlns:xlrd2="http://schemas.microsoft.com/office/spreadsheetml/2017/richdata2" ref="A4:D193">
    <sortCondition ref="B4:B193"/>
    <sortCondition ref="A4:A193"/>
  </sortState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27BA-DAF9-49AB-B8A1-9EA6D16D2140}">
  <dimension ref="A1:I193"/>
  <sheetViews>
    <sheetView zoomScaleNormal="100" workbookViewId="0">
      <selection activeCell="E6" sqref="E6"/>
    </sheetView>
  </sheetViews>
  <sheetFormatPr baseColWidth="10" defaultColWidth="9.1640625" defaultRowHeight="15" x14ac:dyDescent="0.2"/>
  <cols>
    <col min="1" max="1" width="18" customWidth="1"/>
    <col min="2" max="2" width="17" bestFit="1" customWidth="1"/>
    <col min="3" max="3" width="12.33203125" bestFit="1" customWidth="1"/>
    <col min="4" max="4" width="6.33203125" customWidth="1"/>
    <col min="5" max="5" width="24.33203125" customWidth="1"/>
  </cols>
  <sheetData>
    <row r="1" spans="1:9" x14ac:dyDescent="0.2">
      <c r="A1" t="s">
        <v>50</v>
      </c>
    </row>
    <row r="2" spans="1:9" x14ac:dyDescent="0.2">
      <c r="A2" t="s">
        <v>51</v>
      </c>
      <c r="H2" s="4"/>
      <c r="I2" t="s">
        <v>48</v>
      </c>
    </row>
    <row r="3" spans="1:9" x14ac:dyDescent="0.2">
      <c r="A3" t="s">
        <v>2</v>
      </c>
      <c r="B3" t="s">
        <v>3</v>
      </c>
      <c r="C3" t="s">
        <v>52</v>
      </c>
      <c r="H3" s="21"/>
      <c r="I3" t="s">
        <v>49</v>
      </c>
    </row>
    <row r="4" spans="1:9" x14ac:dyDescent="0.2">
      <c r="A4" t="s">
        <v>7</v>
      </c>
      <c r="B4" t="s">
        <v>5</v>
      </c>
      <c r="C4">
        <v>421.36298004090003</v>
      </c>
      <c r="F4" s="19"/>
    </row>
    <row r="5" spans="1:9" x14ac:dyDescent="0.2">
      <c r="A5" t="s">
        <v>6</v>
      </c>
      <c r="B5" t="s">
        <v>5</v>
      </c>
      <c r="C5">
        <v>766.47990591270002</v>
      </c>
      <c r="F5" s="19"/>
    </row>
    <row r="6" spans="1:9" x14ac:dyDescent="0.2">
      <c r="C6" s="4"/>
      <c r="F6" s="19"/>
    </row>
    <row r="7" spans="1:9" x14ac:dyDescent="0.2">
      <c r="C7" s="4"/>
      <c r="F7" s="19"/>
    </row>
    <row r="8" spans="1:9" x14ac:dyDescent="0.2">
      <c r="C8" s="4"/>
      <c r="F8" s="19"/>
    </row>
    <row r="9" spans="1:9" x14ac:dyDescent="0.2">
      <c r="C9" s="4"/>
      <c r="F9" s="19"/>
    </row>
    <row r="10" spans="1:9" x14ac:dyDescent="0.2">
      <c r="C10" s="4"/>
      <c r="F10" s="19"/>
    </row>
    <row r="11" spans="1:9" x14ac:dyDescent="0.2">
      <c r="C11" s="22"/>
    </row>
    <row r="12" spans="1:9" x14ac:dyDescent="0.2">
      <c r="C12" s="4"/>
      <c r="F12" s="19"/>
    </row>
    <row r="13" spans="1:9" x14ac:dyDescent="0.2">
      <c r="C13" s="4"/>
      <c r="F13" s="19"/>
    </row>
    <row r="14" spans="1:9" x14ac:dyDescent="0.2">
      <c r="C14" s="4"/>
      <c r="F14" s="19"/>
    </row>
    <row r="15" spans="1:9" x14ac:dyDescent="0.2">
      <c r="C15" s="22"/>
    </row>
    <row r="16" spans="1:9" x14ac:dyDescent="0.2">
      <c r="C16" s="4"/>
      <c r="F16" s="19"/>
    </row>
    <row r="17" spans="3:6" x14ac:dyDescent="0.2">
      <c r="C17" s="4"/>
      <c r="F17" s="19"/>
    </row>
    <row r="18" spans="3:6" x14ac:dyDescent="0.2">
      <c r="C18" s="22"/>
    </row>
    <row r="19" spans="3:6" x14ac:dyDescent="0.2">
      <c r="C19" s="22"/>
    </row>
    <row r="20" spans="3:6" x14ac:dyDescent="0.2">
      <c r="C20" s="22"/>
    </row>
    <row r="21" spans="3:6" x14ac:dyDescent="0.2">
      <c r="C21" s="22"/>
    </row>
    <row r="22" spans="3:6" x14ac:dyDescent="0.2">
      <c r="C22" s="22"/>
    </row>
    <row r="23" spans="3:6" x14ac:dyDescent="0.2">
      <c r="C23" s="22"/>
    </row>
    <row r="24" spans="3:6" x14ac:dyDescent="0.2">
      <c r="C24" s="4"/>
      <c r="F24" s="19"/>
    </row>
    <row r="25" spans="3:6" x14ac:dyDescent="0.2">
      <c r="C25" s="4"/>
      <c r="F25" s="19"/>
    </row>
    <row r="26" spans="3:6" x14ac:dyDescent="0.2">
      <c r="C26" s="4"/>
      <c r="F26" s="19"/>
    </row>
    <row r="27" spans="3:6" x14ac:dyDescent="0.2">
      <c r="C27" s="4"/>
      <c r="F27" s="19"/>
    </row>
    <row r="28" spans="3:6" x14ac:dyDescent="0.2">
      <c r="C28" s="4"/>
      <c r="F28" s="19"/>
    </row>
    <row r="29" spans="3:6" x14ac:dyDescent="0.2">
      <c r="C29" s="4"/>
      <c r="F29" s="19"/>
    </row>
    <row r="30" spans="3:6" x14ac:dyDescent="0.2">
      <c r="C30" s="4"/>
      <c r="F30" s="19"/>
    </row>
    <row r="31" spans="3:6" x14ac:dyDescent="0.2">
      <c r="C31" s="4"/>
      <c r="F31" s="19"/>
    </row>
    <row r="32" spans="3:6" x14ac:dyDescent="0.2">
      <c r="C32" s="4"/>
      <c r="F32" s="19"/>
    </row>
    <row r="33" spans="3:6" x14ac:dyDescent="0.2">
      <c r="C33" s="4"/>
      <c r="F33" s="19"/>
    </row>
    <row r="34" spans="3:6" x14ac:dyDescent="0.2">
      <c r="C34" s="4"/>
      <c r="F34" s="19"/>
    </row>
    <row r="35" spans="3:6" x14ac:dyDescent="0.2">
      <c r="C35" s="4"/>
      <c r="F35" s="19"/>
    </row>
    <row r="36" spans="3:6" x14ac:dyDescent="0.2">
      <c r="C36" s="4"/>
      <c r="F36" s="19"/>
    </row>
    <row r="37" spans="3:6" x14ac:dyDescent="0.2">
      <c r="C37" s="4"/>
      <c r="F37" s="19"/>
    </row>
    <row r="38" spans="3:6" x14ac:dyDescent="0.2">
      <c r="C38" s="4"/>
      <c r="F38" s="19"/>
    </row>
    <row r="39" spans="3:6" x14ac:dyDescent="0.2">
      <c r="C39" s="4"/>
      <c r="F39" s="19"/>
    </row>
    <row r="40" spans="3:6" x14ac:dyDescent="0.2">
      <c r="C40" s="4"/>
      <c r="F40" s="19"/>
    </row>
    <row r="41" spans="3:6" x14ac:dyDescent="0.2">
      <c r="C41" s="22"/>
    </row>
    <row r="42" spans="3:6" x14ac:dyDescent="0.2">
      <c r="C42" s="4"/>
      <c r="F42" s="19"/>
    </row>
    <row r="43" spans="3:6" x14ac:dyDescent="0.2">
      <c r="C43" s="4"/>
      <c r="F43" s="19"/>
    </row>
    <row r="44" spans="3:6" x14ac:dyDescent="0.2">
      <c r="C44" s="22"/>
    </row>
    <row r="45" spans="3:6" x14ac:dyDescent="0.2">
      <c r="C45" s="22"/>
    </row>
    <row r="46" spans="3:6" x14ac:dyDescent="0.2">
      <c r="C46" s="22"/>
    </row>
    <row r="47" spans="3:6" x14ac:dyDescent="0.2">
      <c r="C47" s="22"/>
    </row>
    <row r="48" spans="3:6" x14ac:dyDescent="0.2">
      <c r="C48" s="22"/>
    </row>
    <row r="49" spans="3:6" x14ac:dyDescent="0.2">
      <c r="C49" s="22"/>
    </row>
    <row r="50" spans="3:6" x14ac:dyDescent="0.2">
      <c r="C50" s="22"/>
    </row>
    <row r="51" spans="3:6" x14ac:dyDescent="0.2">
      <c r="C51" s="22"/>
    </row>
    <row r="52" spans="3:6" x14ac:dyDescent="0.2">
      <c r="C52" s="22"/>
    </row>
    <row r="53" spans="3:6" x14ac:dyDescent="0.2">
      <c r="C53" s="22"/>
    </row>
    <row r="54" spans="3:6" x14ac:dyDescent="0.2">
      <c r="C54" s="22"/>
    </row>
    <row r="55" spans="3:6" x14ac:dyDescent="0.2">
      <c r="C55" s="22"/>
    </row>
    <row r="56" spans="3:6" x14ac:dyDescent="0.2">
      <c r="C56" s="22"/>
    </row>
    <row r="57" spans="3:6" x14ac:dyDescent="0.2">
      <c r="C57" s="22"/>
    </row>
    <row r="58" spans="3:6" x14ac:dyDescent="0.2">
      <c r="C58" s="22"/>
    </row>
    <row r="59" spans="3:6" x14ac:dyDescent="0.2">
      <c r="C59" s="22"/>
    </row>
    <row r="60" spans="3:6" x14ac:dyDescent="0.2">
      <c r="C60" s="22"/>
    </row>
    <row r="61" spans="3:6" x14ac:dyDescent="0.2">
      <c r="C61" s="22"/>
    </row>
    <row r="62" spans="3:6" x14ac:dyDescent="0.2">
      <c r="C62" s="4"/>
      <c r="F62" s="19"/>
    </row>
    <row r="63" spans="3:6" x14ac:dyDescent="0.2">
      <c r="C63" s="4"/>
      <c r="F63" s="19"/>
    </row>
    <row r="64" spans="3:6" x14ac:dyDescent="0.2">
      <c r="C64" s="4"/>
      <c r="F64" s="19"/>
    </row>
    <row r="65" spans="3:6" x14ac:dyDescent="0.2">
      <c r="C65" s="4"/>
      <c r="F65" s="19"/>
    </row>
    <row r="66" spans="3:6" x14ac:dyDescent="0.2">
      <c r="C66" s="4"/>
      <c r="F66" s="19"/>
    </row>
    <row r="67" spans="3:6" x14ac:dyDescent="0.2">
      <c r="C67" s="22"/>
    </row>
    <row r="68" spans="3:6" x14ac:dyDescent="0.2">
      <c r="C68" s="22"/>
    </row>
    <row r="69" spans="3:6" x14ac:dyDescent="0.2">
      <c r="C69" s="22"/>
    </row>
    <row r="70" spans="3:6" x14ac:dyDescent="0.2">
      <c r="C70" s="22"/>
    </row>
    <row r="71" spans="3:6" x14ac:dyDescent="0.2">
      <c r="C71" s="22"/>
    </row>
    <row r="72" spans="3:6" x14ac:dyDescent="0.2">
      <c r="C72" s="22"/>
    </row>
    <row r="73" spans="3:6" x14ac:dyDescent="0.2">
      <c r="C73" s="22"/>
    </row>
    <row r="74" spans="3:6" x14ac:dyDescent="0.2">
      <c r="C74" s="22"/>
    </row>
    <row r="75" spans="3:6" x14ac:dyDescent="0.2">
      <c r="C75" s="22"/>
    </row>
    <row r="76" spans="3:6" x14ac:dyDescent="0.2">
      <c r="C76" s="22"/>
    </row>
    <row r="77" spans="3:6" x14ac:dyDescent="0.2">
      <c r="C77" s="22"/>
    </row>
    <row r="78" spans="3:6" x14ac:dyDescent="0.2">
      <c r="C78" s="22"/>
    </row>
    <row r="79" spans="3:6" x14ac:dyDescent="0.2">
      <c r="C79" s="4"/>
      <c r="F79" s="19"/>
    </row>
    <row r="80" spans="3:6" x14ac:dyDescent="0.2">
      <c r="C80" s="4"/>
      <c r="F80" s="19"/>
    </row>
    <row r="81" spans="3:6" x14ac:dyDescent="0.2">
      <c r="C81" s="4"/>
      <c r="F81" s="19"/>
    </row>
    <row r="82" spans="3:6" x14ac:dyDescent="0.2">
      <c r="C82" s="4"/>
      <c r="F82" s="19"/>
    </row>
    <row r="83" spans="3:6" x14ac:dyDescent="0.2">
      <c r="C83" s="4"/>
      <c r="F83" s="19"/>
    </row>
    <row r="84" spans="3:6" x14ac:dyDescent="0.2">
      <c r="C84" s="4"/>
      <c r="F84" s="19"/>
    </row>
    <row r="85" spans="3:6" x14ac:dyDescent="0.2">
      <c r="C85" s="22"/>
    </row>
    <row r="86" spans="3:6" x14ac:dyDescent="0.2">
      <c r="C86" s="4"/>
      <c r="F86" s="19"/>
    </row>
    <row r="87" spans="3:6" x14ac:dyDescent="0.2">
      <c r="C87" s="4"/>
      <c r="F87" s="19"/>
    </row>
    <row r="88" spans="3:6" x14ac:dyDescent="0.2">
      <c r="C88" s="4"/>
      <c r="F88" s="19"/>
    </row>
    <row r="89" spans="3:6" x14ac:dyDescent="0.2">
      <c r="C89" s="4"/>
      <c r="F89" s="19"/>
    </row>
    <row r="90" spans="3:6" x14ac:dyDescent="0.2">
      <c r="C90" s="4"/>
      <c r="F90" s="19"/>
    </row>
    <row r="91" spans="3:6" x14ac:dyDescent="0.2">
      <c r="C91" s="22"/>
    </row>
    <row r="92" spans="3:6" x14ac:dyDescent="0.2">
      <c r="C92" s="22"/>
    </row>
    <row r="93" spans="3:6" x14ac:dyDescent="0.2">
      <c r="C93" s="22"/>
    </row>
    <row r="94" spans="3:6" x14ac:dyDescent="0.2">
      <c r="C94" s="22"/>
    </row>
    <row r="95" spans="3:6" x14ac:dyDescent="0.2">
      <c r="C95" s="4"/>
      <c r="F95" s="19"/>
    </row>
    <row r="96" spans="3:6" x14ac:dyDescent="0.2">
      <c r="C96" s="22"/>
    </row>
    <row r="97" spans="3:6" x14ac:dyDescent="0.2">
      <c r="C97" s="4"/>
      <c r="F97" s="19"/>
    </row>
    <row r="98" spans="3:6" x14ac:dyDescent="0.2">
      <c r="C98" s="4"/>
      <c r="F98" s="19"/>
    </row>
    <row r="99" spans="3:6" x14ac:dyDescent="0.2">
      <c r="C99" s="4"/>
      <c r="F99" s="19"/>
    </row>
    <row r="100" spans="3:6" x14ac:dyDescent="0.2">
      <c r="C100" s="22"/>
    </row>
    <row r="101" spans="3:6" x14ac:dyDescent="0.2">
      <c r="C101" s="22"/>
    </row>
    <row r="102" spans="3:6" x14ac:dyDescent="0.2">
      <c r="C102" s="4"/>
      <c r="F102" s="19"/>
    </row>
    <row r="103" spans="3:6" x14ac:dyDescent="0.2">
      <c r="C103" s="4"/>
      <c r="F103" s="19"/>
    </row>
    <row r="104" spans="3:6" x14ac:dyDescent="0.2">
      <c r="C104" s="22"/>
    </row>
    <row r="105" spans="3:6" x14ac:dyDescent="0.2">
      <c r="C105" s="22"/>
    </row>
    <row r="106" spans="3:6" x14ac:dyDescent="0.2">
      <c r="C106" s="22"/>
    </row>
    <row r="107" spans="3:6" x14ac:dyDescent="0.2">
      <c r="C107" s="22"/>
    </row>
    <row r="108" spans="3:6" x14ac:dyDescent="0.2">
      <c r="C108" s="22"/>
    </row>
    <row r="109" spans="3:6" x14ac:dyDescent="0.2">
      <c r="C109" s="22"/>
    </row>
    <row r="110" spans="3:6" x14ac:dyDescent="0.2">
      <c r="C110" s="22"/>
    </row>
    <row r="111" spans="3:6" x14ac:dyDescent="0.2">
      <c r="C111" s="22"/>
    </row>
    <row r="112" spans="3:6" x14ac:dyDescent="0.2">
      <c r="C112" s="22"/>
    </row>
    <row r="113" spans="3:6" x14ac:dyDescent="0.2">
      <c r="C113" s="22"/>
    </row>
    <row r="114" spans="3:6" x14ac:dyDescent="0.2">
      <c r="C114" s="22"/>
    </row>
    <row r="115" spans="3:6" x14ac:dyDescent="0.2">
      <c r="C115" s="22"/>
    </row>
    <row r="116" spans="3:6" x14ac:dyDescent="0.2">
      <c r="C116" s="22"/>
    </row>
    <row r="117" spans="3:6" x14ac:dyDescent="0.2">
      <c r="C117" s="22"/>
    </row>
    <row r="118" spans="3:6" x14ac:dyDescent="0.2">
      <c r="C118" s="22"/>
    </row>
    <row r="119" spans="3:6" x14ac:dyDescent="0.2">
      <c r="C119" s="22"/>
    </row>
    <row r="120" spans="3:6" x14ac:dyDescent="0.2">
      <c r="C120" s="22"/>
    </row>
    <row r="121" spans="3:6" x14ac:dyDescent="0.2">
      <c r="C121" s="22"/>
    </row>
    <row r="122" spans="3:6" x14ac:dyDescent="0.2">
      <c r="C122" s="22"/>
    </row>
    <row r="123" spans="3:6" x14ac:dyDescent="0.2">
      <c r="C123" s="4"/>
      <c r="F123" s="19"/>
    </row>
    <row r="124" spans="3:6" x14ac:dyDescent="0.2">
      <c r="C124" s="4"/>
      <c r="F124" s="19"/>
    </row>
    <row r="125" spans="3:6" x14ac:dyDescent="0.2">
      <c r="C125" s="4"/>
      <c r="F125" s="19"/>
    </row>
    <row r="126" spans="3:6" x14ac:dyDescent="0.2">
      <c r="C126" s="4"/>
      <c r="F126" s="19"/>
    </row>
    <row r="127" spans="3:6" x14ac:dyDescent="0.2">
      <c r="C127" s="4"/>
      <c r="F127" s="19"/>
    </row>
    <row r="128" spans="3:6" x14ac:dyDescent="0.2">
      <c r="C128" s="4"/>
      <c r="F128" s="19"/>
    </row>
    <row r="129" spans="3:6" x14ac:dyDescent="0.2">
      <c r="C129" s="4"/>
      <c r="F129" s="19"/>
    </row>
    <row r="130" spans="3:6" x14ac:dyDescent="0.2">
      <c r="C130" s="4"/>
      <c r="F130" s="19"/>
    </row>
    <row r="131" spans="3:6" x14ac:dyDescent="0.2">
      <c r="C131" s="4"/>
      <c r="F131" s="19"/>
    </row>
    <row r="132" spans="3:6" x14ac:dyDescent="0.2">
      <c r="C132" s="4"/>
      <c r="F132" s="19"/>
    </row>
    <row r="133" spans="3:6" x14ac:dyDescent="0.2">
      <c r="C133" s="22"/>
    </row>
    <row r="134" spans="3:6" x14ac:dyDescent="0.2">
      <c r="C134" s="22"/>
    </row>
    <row r="135" spans="3:6" x14ac:dyDescent="0.2">
      <c r="C135" s="22"/>
    </row>
    <row r="136" spans="3:6" x14ac:dyDescent="0.2">
      <c r="C136" s="22"/>
    </row>
    <row r="137" spans="3:6" x14ac:dyDescent="0.2">
      <c r="C137" s="22"/>
    </row>
    <row r="138" spans="3:6" x14ac:dyDescent="0.2">
      <c r="C138" s="22"/>
    </row>
    <row r="139" spans="3:6" x14ac:dyDescent="0.2">
      <c r="C139" s="22"/>
    </row>
    <row r="140" spans="3:6" x14ac:dyDescent="0.2">
      <c r="C140" s="22"/>
    </row>
    <row r="141" spans="3:6" x14ac:dyDescent="0.2">
      <c r="C141" s="22"/>
    </row>
    <row r="142" spans="3:6" x14ac:dyDescent="0.2">
      <c r="C142" s="22"/>
    </row>
    <row r="143" spans="3:6" x14ac:dyDescent="0.2">
      <c r="C143" s="22"/>
    </row>
    <row r="144" spans="3:6" x14ac:dyDescent="0.2">
      <c r="C144" s="22"/>
    </row>
    <row r="145" spans="3:6" x14ac:dyDescent="0.2">
      <c r="C145" s="22"/>
    </row>
    <row r="146" spans="3:6" x14ac:dyDescent="0.2">
      <c r="C146" s="22"/>
    </row>
    <row r="147" spans="3:6" x14ac:dyDescent="0.2">
      <c r="C147" s="22"/>
    </row>
    <row r="148" spans="3:6" x14ac:dyDescent="0.2">
      <c r="C148" s="22"/>
    </row>
    <row r="149" spans="3:6" x14ac:dyDescent="0.2">
      <c r="C149" s="4"/>
      <c r="F149" s="19"/>
    </row>
    <row r="150" spans="3:6" x14ac:dyDescent="0.2">
      <c r="C150" s="4"/>
      <c r="F150" s="19"/>
    </row>
    <row r="151" spans="3:6" x14ac:dyDescent="0.2">
      <c r="C151" s="4"/>
      <c r="F151" s="19"/>
    </row>
    <row r="152" spans="3:6" x14ac:dyDescent="0.2">
      <c r="C152" s="4"/>
      <c r="F152" s="19"/>
    </row>
    <row r="153" spans="3:6" x14ac:dyDescent="0.2">
      <c r="C153" s="4"/>
      <c r="F153" s="19"/>
    </row>
    <row r="154" spans="3:6" x14ac:dyDescent="0.2">
      <c r="C154" s="4"/>
      <c r="F154" s="19"/>
    </row>
    <row r="155" spans="3:6" x14ac:dyDescent="0.2">
      <c r="C155" s="22"/>
    </row>
    <row r="156" spans="3:6" x14ac:dyDescent="0.2">
      <c r="C156" s="22"/>
    </row>
    <row r="157" spans="3:6" x14ac:dyDescent="0.2">
      <c r="C157" s="22"/>
    </row>
    <row r="158" spans="3:6" x14ac:dyDescent="0.2">
      <c r="C158" s="4"/>
      <c r="F158" s="19"/>
    </row>
    <row r="159" spans="3:6" x14ac:dyDescent="0.2">
      <c r="C159" s="4"/>
      <c r="F159" s="19"/>
    </row>
    <row r="160" spans="3:6" x14ac:dyDescent="0.2">
      <c r="C160" s="4"/>
      <c r="F160" s="19"/>
    </row>
    <row r="161" spans="3:6" x14ac:dyDescent="0.2">
      <c r="C161" s="4"/>
      <c r="F161" s="19"/>
    </row>
    <row r="162" spans="3:6" x14ac:dyDescent="0.2">
      <c r="C162" s="22"/>
    </row>
    <row r="163" spans="3:6" x14ac:dyDescent="0.2">
      <c r="C163" s="22"/>
    </row>
    <row r="164" spans="3:6" x14ac:dyDescent="0.2">
      <c r="C164" s="22"/>
    </row>
    <row r="165" spans="3:6" x14ac:dyDescent="0.2">
      <c r="C165" s="22"/>
    </row>
    <row r="166" spans="3:6" x14ac:dyDescent="0.2">
      <c r="C166" s="22"/>
    </row>
    <row r="167" spans="3:6" x14ac:dyDescent="0.2">
      <c r="C167" s="22"/>
    </row>
    <row r="168" spans="3:6" x14ac:dyDescent="0.2">
      <c r="C168" s="22"/>
    </row>
    <row r="169" spans="3:6" x14ac:dyDescent="0.2">
      <c r="C169" s="22"/>
    </row>
    <row r="170" spans="3:6" x14ac:dyDescent="0.2">
      <c r="C170" s="22"/>
    </row>
    <row r="171" spans="3:6" x14ac:dyDescent="0.2">
      <c r="C171" s="22"/>
    </row>
    <row r="172" spans="3:6" x14ac:dyDescent="0.2">
      <c r="C172" s="22"/>
    </row>
    <row r="173" spans="3:6" x14ac:dyDescent="0.2">
      <c r="C173" s="22"/>
    </row>
    <row r="174" spans="3:6" x14ac:dyDescent="0.2">
      <c r="C174" s="22"/>
    </row>
    <row r="175" spans="3:6" x14ac:dyDescent="0.2">
      <c r="C175" s="22"/>
    </row>
    <row r="176" spans="3:6" x14ac:dyDescent="0.2">
      <c r="C176" s="22"/>
    </row>
    <row r="177" spans="3:6" x14ac:dyDescent="0.2">
      <c r="C177" s="22"/>
    </row>
    <row r="178" spans="3:6" x14ac:dyDescent="0.2">
      <c r="C178" s="22"/>
    </row>
    <row r="179" spans="3:6" x14ac:dyDescent="0.2">
      <c r="C179" s="22"/>
    </row>
    <row r="180" spans="3:6" x14ac:dyDescent="0.2">
      <c r="C180" s="22"/>
    </row>
    <row r="181" spans="3:6" x14ac:dyDescent="0.2">
      <c r="C181" s="22"/>
    </row>
    <row r="182" spans="3:6" x14ac:dyDescent="0.2">
      <c r="C182" s="4"/>
      <c r="F182" s="19"/>
    </row>
    <row r="183" spans="3:6" x14ac:dyDescent="0.2">
      <c r="C183" s="4"/>
      <c r="F183" s="19"/>
    </row>
    <row r="184" spans="3:6" x14ac:dyDescent="0.2">
      <c r="C184" s="4"/>
      <c r="F184" s="19"/>
    </row>
    <row r="185" spans="3:6" x14ac:dyDescent="0.2">
      <c r="C185" s="22"/>
    </row>
    <row r="186" spans="3:6" x14ac:dyDescent="0.2">
      <c r="C186" s="4"/>
      <c r="F186" s="19"/>
    </row>
    <row r="187" spans="3:6" x14ac:dyDescent="0.2">
      <c r="C187" s="4"/>
      <c r="F187" s="19"/>
    </row>
    <row r="188" spans="3:6" x14ac:dyDescent="0.2">
      <c r="C188" s="4"/>
      <c r="F188" s="19"/>
    </row>
    <row r="189" spans="3:6" x14ac:dyDescent="0.2">
      <c r="C189" s="4"/>
      <c r="F189" s="19"/>
    </row>
    <row r="190" spans="3:6" x14ac:dyDescent="0.2">
      <c r="C190" s="4"/>
      <c r="F190" s="19"/>
    </row>
    <row r="191" spans="3:6" x14ac:dyDescent="0.2">
      <c r="C191" s="4"/>
      <c r="F191" s="19"/>
    </row>
    <row r="192" spans="3:6" x14ac:dyDescent="0.2">
      <c r="C192" s="22"/>
    </row>
    <row r="193" spans="3:3" x14ac:dyDescent="0.2">
      <c r="C193" s="22"/>
    </row>
  </sheetData>
  <autoFilter ref="A1:C193" xr:uid="{70B7885A-5FE4-4619-A9B2-A463CA2536DA}"/>
  <sortState xmlns:xlrd2="http://schemas.microsoft.com/office/spreadsheetml/2017/richdata2" caseSensitive="1" ref="A4:C193">
    <sortCondition ref="B4:B193"/>
    <sortCondition ref="A4:A19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4D04-655D-4FE0-B823-3399A729C469}">
  <dimension ref="A1:F19"/>
  <sheetViews>
    <sheetView workbookViewId="0">
      <selection activeCell="D10" sqref="D10"/>
    </sheetView>
  </sheetViews>
  <sheetFormatPr baseColWidth="10" defaultColWidth="11.5" defaultRowHeight="15" x14ac:dyDescent="0.2"/>
  <cols>
    <col min="1" max="1" width="23.5" customWidth="1"/>
    <col min="2" max="2" width="5.6640625" bestFit="1" customWidth="1"/>
    <col min="3" max="3" width="28.6640625" bestFit="1" customWidth="1"/>
    <col min="4" max="4" width="15.1640625" customWidth="1"/>
    <col min="5" max="5" width="19.5" bestFit="1" customWidth="1"/>
    <col min="6" max="6" width="34.5" bestFit="1" customWidth="1"/>
  </cols>
  <sheetData>
    <row r="1" spans="1:6" x14ac:dyDescent="0.2">
      <c r="A1" t="s">
        <v>12</v>
      </c>
      <c r="E1" s="1" t="s">
        <v>13</v>
      </c>
      <c r="F1" s="1" t="s">
        <v>14</v>
      </c>
    </row>
    <row r="2" spans="1:6" x14ac:dyDescent="0.2">
      <c r="A2" t="s">
        <v>15</v>
      </c>
      <c r="E2" s="2" t="s">
        <v>16</v>
      </c>
      <c r="F2" s="1" t="s">
        <v>17</v>
      </c>
    </row>
    <row r="3" spans="1:6" x14ac:dyDescent="0.2">
      <c r="A3" t="s">
        <v>18</v>
      </c>
      <c r="B3" t="s">
        <v>10</v>
      </c>
      <c r="C3" t="s">
        <v>19</v>
      </c>
      <c r="E3" s="1" t="s">
        <v>20</v>
      </c>
      <c r="F3" s="1" t="s">
        <v>21</v>
      </c>
    </row>
    <row r="4" spans="1:6" x14ac:dyDescent="0.2">
      <c r="A4" t="s">
        <v>22</v>
      </c>
      <c r="B4">
        <v>1</v>
      </c>
      <c r="C4">
        <v>661.609375</v>
      </c>
      <c r="E4" s="1" t="s">
        <v>23</v>
      </c>
      <c r="F4" s="1" t="s">
        <v>24</v>
      </c>
    </row>
    <row r="5" spans="1:6" x14ac:dyDescent="0.2">
      <c r="A5" t="s">
        <v>22</v>
      </c>
      <c r="B5">
        <v>2</v>
      </c>
      <c r="C5">
        <v>661.609375</v>
      </c>
      <c r="E5" s="1" t="s">
        <v>25</v>
      </c>
      <c r="F5" s="1" t="s">
        <v>25</v>
      </c>
    </row>
    <row r="6" spans="1:6" x14ac:dyDescent="0.2">
      <c r="A6" t="s">
        <v>22</v>
      </c>
      <c r="B6">
        <v>3</v>
      </c>
      <c r="C6">
        <v>604.46875</v>
      </c>
      <c r="E6" s="1" t="s">
        <v>26</v>
      </c>
      <c r="F6" s="1" t="s">
        <v>27</v>
      </c>
    </row>
    <row r="7" spans="1:6" x14ac:dyDescent="0.2">
      <c r="A7" t="s">
        <v>22</v>
      </c>
      <c r="B7">
        <v>4</v>
      </c>
      <c r="C7">
        <v>604.46875</v>
      </c>
    </row>
    <row r="8" spans="1:6" x14ac:dyDescent="0.2">
      <c r="A8" t="s">
        <v>22</v>
      </c>
      <c r="B8">
        <v>5</v>
      </c>
      <c r="C8">
        <v>604.46875</v>
      </c>
    </row>
    <row r="9" spans="1:6" x14ac:dyDescent="0.2">
      <c r="A9" t="s">
        <v>22</v>
      </c>
      <c r="B9">
        <v>6</v>
      </c>
      <c r="C9">
        <v>604.46875</v>
      </c>
    </row>
    <row r="10" spans="1:6" x14ac:dyDescent="0.2">
      <c r="A10" t="s">
        <v>22</v>
      </c>
      <c r="B10">
        <v>7</v>
      </c>
      <c r="C10">
        <v>604.46875</v>
      </c>
    </row>
    <row r="11" spans="1:6" x14ac:dyDescent="0.2">
      <c r="A11" t="s">
        <v>22</v>
      </c>
      <c r="B11">
        <v>8</v>
      </c>
      <c r="C11">
        <v>604.46875</v>
      </c>
    </row>
    <row r="12" spans="1:6" x14ac:dyDescent="0.2">
      <c r="A12" t="s">
        <v>28</v>
      </c>
      <c r="B12">
        <v>1</v>
      </c>
      <c r="C12">
        <v>2769.2307692307691</v>
      </c>
    </row>
    <row r="13" spans="1:6" x14ac:dyDescent="0.2">
      <c r="A13" t="s">
        <v>28</v>
      </c>
      <c r="B13">
        <v>2</v>
      </c>
      <c r="C13">
        <v>2769.2307692307691</v>
      </c>
    </row>
    <row r="14" spans="1:6" x14ac:dyDescent="0.2">
      <c r="A14" t="s">
        <v>28</v>
      </c>
      <c r="B14">
        <v>3</v>
      </c>
      <c r="C14">
        <v>2160</v>
      </c>
    </row>
    <row r="15" spans="1:6" x14ac:dyDescent="0.2">
      <c r="A15" t="s">
        <v>28</v>
      </c>
      <c r="B15">
        <v>4</v>
      </c>
      <c r="C15">
        <v>2160</v>
      </c>
    </row>
    <row r="16" spans="1:6" x14ac:dyDescent="0.2">
      <c r="A16" t="s">
        <v>28</v>
      </c>
      <c r="B16">
        <v>5</v>
      </c>
      <c r="C16">
        <v>1550.7692307692307</v>
      </c>
    </row>
    <row r="17" spans="1:3" x14ac:dyDescent="0.2">
      <c r="A17" t="s">
        <v>28</v>
      </c>
      <c r="B17">
        <v>6</v>
      </c>
      <c r="C17">
        <v>1550.7692307692307</v>
      </c>
    </row>
    <row r="18" spans="1:3" x14ac:dyDescent="0.2">
      <c r="A18" t="s">
        <v>28</v>
      </c>
      <c r="B18">
        <v>7</v>
      </c>
      <c r="C18">
        <v>1550.7692307692307</v>
      </c>
    </row>
    <row r="19" spans="1:3" x14ac:dyDescent="0.2">
      <c r="A19" t="s">
        <v>28</v>
      </c>
      <c r="B19">
        <v>8</v>
      </c>
      <c r="C19">
        <v>1550.7692307692307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44FB-B75E-4BAB-AE11-F250A16C2E63}">
  <dimension ref="A1:C19"/>
  <sheetViews>
    <sheetView workbookViewId="0"/>
  </sheetViews>
  <sheetFormatPr baseColWidth="10" defaultColWidth="11.5" defaultRowHeight="15" x14ac:dyDescent="0.2"/>
  <cols>
    <col min="1" max="1" width="22.5" customWidth="1"/>
    <col min="2" max="2" width="5.6640625" bestFit="1" customWidth="1"/>
    <col min="3" max="3" width="28" bestFit="1" customWidth="1"/>
  </cols>
  <sheetData>
    <row r="1" spans="1:3" x14ac:dyDescent="0.2">
      <c r="A1" t="s">
        <v>29</v>
      </c>
    </row>
    <row r="2" spans="1:3" x14ac:dyDescent="0.2">
      <c r="A2" t="s">
        <v>30</v>
      </c>
    </row>
    <row r="3" spans="1:3" x14ac:dyDescent="0.2">
      <c r="A3" t="s">
        <v>18</v>
      </c>
      <c r="B3" t="s">
        <v>10</v>
      </c>
      <c r="C3" t="s">
        <v>31</v>
      </c>
    </row>
    <row r="4" spans="1:3" x14ac:dyDescent="0.2">
      <c r="A4" t="s">
        <v>22</v>
      </c>
      <c r="B4">
        <v>1</v>
      </c>
      <c r="C4">
        <v>33.080468750000001</v>
      </c>
    </row>
    <row r="5" spans="1:3" x14ac:dyDescent="0.2">
      <c r="A5" t="s">
        <v>22</v>
      </c>
      <c r="B5">
        <v>2</v>
      </c>
      <c r="C5">
        <v>33.080468750000001</v>
      </c>
    </row>
    <row r="6" spans="1:3" x14ac:dyDescent="0.2">
      <c r="A6" t="s">
        <v>22</v>
      </c>
      <c r="B6">
        <v>3</v>
      </c>
      <c r="C6">
        <v>30.223437500000003</v>
      </c>
    </row>
    <row r="7" spans="1:3" x14ac:dyDescent="0.2">
      <c r="A7" t="s">
        <v>22</v>
      </c>
      <c r="B7">
        <v>4</v>
      </c>
      <c r="C7">
        <v>30.223437500000003</v>
      </c>
    </row>
    <row r="8" spans="1:3" x14ac:dyDescent="0.2">
      <c r="A8" t="s">
        <v>22</v>
      </c>
      <c r="B8">
        <v>5</v>
      </c>
      <c r="C8">
        <v>30.223437500000003</v>
      </c>
    </row>
    <row r="9" spans="1:3" x14ac:dyDescent="0.2">
      <c r="A9" t="s">
        <v>22</v>
      </c>
      <c r="B9">
        <v>6</v>
      </c>
      <c r="C9">
        <v>30.223437500000003</v>
      </c>
    </row>
    <row r="10" spans="1:3" x14ac:dyDescent="0.2">
      <c r="A10" t="s">
        <v>22</v>
      </c>
      <c r="B10">
        <v>7</v>
      </c>
      <c r="C10">
        <v>30.223437500000003</v>
      </c>
    </row>
    <row r="11" spans="1:3" x14ac:dyDescent="0.2">
      <c r="A11" t="s">
        <v>22</v>
      </c>
      <c r="B11">
        <v>8</v>
      </c>
      <c r="C11">
        <v>30.223437500000003</v>
      </c>
    </row>
    <row r="12" spans="1:3" x14ac:dyDescent="0.2">
      <c r="A12" t="s">
        <v>28</v>
      </c>
      <c r="B12">
        <v>1</v>
      </c>
      <c r="C12">
        <v>138.46153846153845</v>
      </c>
    </row>
    <row r="13" spans="1:3" x14ac:dyDescent="0.2">
      <c r="A13" t="s">
        <v>28</v>
      </c>
      <c r="B13">
        <v>2</v>
      </c>
      <c r="C13">
        <v>138.46153846153845</v>
      </c>
    </row>
    <row r="14" spans="1:3" x14ac:dyDescent="0.2">
      <c r="A14" t="s">
        <v>28</v>
      </c>
      <c r="B14">
        <v>3</v>
      </c>
      <c r="C14">
        <v>108</v>
      </c>
    </row>
    <row r="15" spans="1:3" x14ac:dyDescent="0.2">
      <c r="A15" t="s">
        <v>28</v>
      </c>
      <c r="B15">
        <v>4</v>
      </c>
      <c r="C15">
        <v>108</v>
      </c>
    </row>
    <row r="16" spans="1:3" x14ac:dyDescent="0.2">
      <c r="A16" t="s">
        <v>28</v>
      </c>
      <c r="B16">
        <v>5</v>
      </c>
      <c r="C16">
        <v>77.538461538461547</v>
      </c>
    </row>
    <row r="17" spans="1:3" x14ac:dyDescent="0.2">
      <c r="A17" t="s">
        <v>28</v>
      </c>
      <c r="B17">
        <v>6</v>
      </c>
      <c r="C17">
        <v>77.538461538461547</v>
      </c>
    </row>
    <row r="18" spans="1:3" x14ac:dyDescent="0.2">
      <c r="A18" t="s">
        <v>28</v>
      </c>
      <c r="B18">
        <v>7</v>
      </c>
      <c r="C18">
        <v>77.538461538461547</v>
      </c>
    </row>
    <row r="19" spans="1:3" x14ac:dyDescent="0.2">
      <c r="A19" t="s">
        <v>28</v>
      </c>
      <c r="B19">
        <v>8</v>
      </c>
      <c r="C19">
        <v>77.538461538461547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E25" sqref="E25"/>
    </sheetView>
  </sheetViews>
  <sheetFormatPr baseColWidth="10" defaultColWidth="9.1640625" defaultRowHeight="15" x14ac:dyDescent="0.2"/>
  <cols>
    <col min="1" max="1" width="28.5" customWidth="1"/>
    <col min="2" max="2" width="10.33203125" bestFit="1" customWidth="1"/>
    <col min="3" max="3" width="5.6640625" bestFit="1" customWidth="1"/>
    <col min="4" max="4" width="28" bestFit="1" customWidth="1"/>
  </cols>
  <sheetData>
    <row r="1" spans="1:4" x14ac:dyDescent="0.2">
      <c r="A1" t="s">
        <v>32</v>
      </c>
    </row>
    <row r="2" spans="1:4" x14ac:dyDescent="0.2">
      <c r="A2" t="s">
        <v>34</v>
      </c>
    </row>
    <row r="3" spans="1:4" x14ac:dyDescent="0.2">
      <c r="A3" t="s">
        <v>9</v>
      </c>
      <c r="B3" t="s">
        <v>3</v>
      </c>
      <c r="C3" t="s">
        <v>10</v>
      </c>
      <c r="D3" t="s">
        <v>33</v>
      </c>
    </row>
    <row r="4" spans="1:4" x14ac:dyDescent="0.2">
      <c r="A4" t="s">
        <v>7</v>
      </c>
      <c r="B4" t="s">
        <v>5</v>
      </c>
      <c r="C4">
        <v>1</v>
      </c>
      <c r="D4">
        <v>2765</v>
      </c>
    </row>
    <row r="5" spans="1:4" x14ac:dyDescent="0.2">
      <c r="A5" t="s">
        <v>7</v>
      </c>
      <c r="B5" t="s">
        <v>5</v>
      </c>
      <c r="C5">
        <v>2</v>
      </c>
      <c r="D5">
        <v>2765</v>
      </c>
    </row>
    <row r="6" spans="1:4" x14ac:dyDescent="0.2">
      <c r="A6" t="s">
        <v>7</v>
      </c>
      <c r="B6" t="s">
        <v>5</v>
      </c>
      <c r="C6">
        <v>3</v>
      </c>
      <c r="D6">
        <v>2765</v>
      </c>
    </row>
    <row r="7" spans="1:4" x14ac:dyDescent="0.2">
      <c r="A7" t="s">
        <v>7</v>
      </c>
      <c r="B7" t="s">
        <v>5</v>
      </c>
      <c r="C7">
        <v>4</v>
      </c>
      <c r="D7">
        <v>2765</v>
      </c>
    </row>
    <row r="8" spans="1:4" x14ac:dyDescent="0.2">
      <c r="A8" t="s">
        <v>7</v>
      </c>
      <c r="B8" t="s">
        <v>5</v>
      </c>
      <c r="C8">
        <v>5</v>
      </c>
      <c r="D8">
        <v>2765</v>
      </c>
    </row>
    <row r="9" spans="1:4" x14ac:dyDescent="0.2">
      <c r="A9" t="s">
        <v>7</v>
      </c>
      <c r="B9" t="s">
        <v>5</v>
      </c>
      <c r="C9">
        <v>6</v>
      </c>
      <c r="D9">
        <v>2765</v>
      </c>
    </row>
    <row r="10" spans="1:4" x14ac:dyDescent="0.2">
      <c r="A10" t="s">
        <v>7</v>
      </c>
      <c r="B10" t="s">
        <v>5</v>
      </c>
      <c r="C10">
        <v>7</v>
      </c>
      <c r="D10">
        <v>2765</v>
      </c>
    </row>
    <row r="11" spans="1:4" x14ac:dyDescent="0.2">
      <c r="A11" t="s">
        <v>7</v>
      </c>
      <c r="B11" t="s">
        <v>5</v>
      </c>
      <c r="C11">
        <v>8</v>
      </c>
      <c r="D11">
        <v>2765</v>
      </c>
    </row>
    <row r="12" spans="1:4" x14ac:dyDescent="0.2">
      <c r="A12" t="s">
        <v>6</v>
      </c>
      <c r="B12" t="s">
        <v>5</v>
      </c>
      <c r="C12">
        <v>1</v>
      </c>
      <c r="D12">
        <v>2300</v>
      </c>
    </row>
    <row r="13" spans="1:4" x14ac:dyDescent="0.2">
      <c r="A13" t="s">
        <v>6</v>
      </c>
      <c r="B13" t="s">
        <v>5</v>
      </c>
      <c r="C13">
        <v>2</v>
      </c>
      <c r="D13">
        <v>2300</v>
      </c>
    </row>
    <row r="14" spans="1:4" x14ac:dyDescent="0.2">
      <c r="A14" t="s">
        <v>6</v>
      </c>
      <c r="B14" t="s">
        <v>5</v>
      </c>
      <c r="C14">
        <v>3</v>
      </c>
      <c r="D14">
        <v>2300</v>
      </c>
    </row>
    <row r="15" spans="1:4" x14ac:dyDescent="0.2">
      <c r="A15" t="s">
        <v>6</v>
      </c>
      <c r="B15" t="s">
        <v>5</v>
      </c>
      <c r="C15">
        <v>4</v>
      </c>
      <c r="D15">
        <v>2300</v>
      </c>
    </row>
    <row r="16" spans="1:4" x14ac:dyDescent="0.2">
      <c r="A16" t="s">
        <v>6</v>
      </c>
      <c r="B16" t="s">
        <v>5</v>
      </c>
      <c r="C16">
        <v>5</v>
      </c>
      <c r="D16">
        <v>2300</v>
      </c>
    </row>
    <row r="17" spans="1:4" x14ac:dyDescent="0.2">
      <c r="A17" t="s">
        <v>6</v>
      </c>
      <c r="B17" t="s">
        <v>5</v>
      </c>
      <c r="C17">
        <v>6</v>
      </c>
      <c r="D17">
        <v>2300</v>
      </c>
    </row>
    <row r="18" spans="1:4" x14ac:dyDescent="0.2">
      <c r="A18" t="s">
        <v>6</v>
      </c>
      <c r="B18" t="s">
        <v>5</v>
      </c>
      <c r="C18">
        <v>7</v>
      </c>
      <c r="D18">
        <v>2300</v>
      </c>
    </row>
    <row r="19" spans="1:4" x14ac:dyDescent="0.2">
      <c r="A19" t="s">
        <v>6</v>
      </c>
      <c r="B19" t="s">
        <v>5</v>
      </c>
      <c r="C19">
        <v>8</v>
      </c>
      <c r="D19">
        <v>2300</v>
      </c>
    </row>
  </sheetData>
  <autoFilter ref="A1:F19" xr:uid="{00000000-0001-0000-0400-000000000000}"/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7CCD-C124-48E5-A575-724371EBF470}">
  <dimension ref="A1:J19"/>
  <sheetViews>
    <sheetView zoomScale="95" zoomScaleNormal="100" workbookViewId="0">
      <pane xSplit="3" topLeftCell="D1" activePane="topRight" state="frozen"/>
      <selection pane="topRight" activeCell="D29" sqref="D29"/>
    </sheetView>
  </sheetViews>
  <sheetFormatPr baseColWidth="10" defaultColWidth="11.5" defaultRowHeight="15" x14ac:dyDescent="0.2"/>
  <cols>
    <col min="1" max="1" width="20.5" customWidth="1"/>
    <col min="2" max="2" width="17" bestFit="1" customWidth="1"/>
    <col min="3" max="3" width="11.83203125" customWidth="1"/>
    <col min="4" max="4" width="48.6640625" customWidth="1"/>
    <col min="5" max="5" width="3.83203125" customWidth="1"/>
    <col min="6" max="6" width="37.33203125" style="7" customWidth="1"/>
    <col min="7" max="7" width="31" customWidth="1"/>
    <col min="8" max="8" width="42.5" bestFit="1" customWidth="1"/>
    <col min="9" max="9" width="26.6640625" customWidth="1"/>
    <col min="10" max="10" width="29.6640625" customWidth="1"/>
  </cols>
  <sheetData>
    <row r="1" spans="1:10" s="8" customFormat="1" ht="14" x14ac:dyDescent="0.2">
      <c r="A1" s="8" t="s">
        <v>35</v>
      </c>
      <c r="F1" s="9"/>
    </row>
    <row r="2" spans="1:10" ht="16" thickBot="1" x14ac:dyDescent="0.25">
      <c r="A2" s="13" t="s">
        <v>42</v>
      </c>
      <c r="D2" s="14"/>
      <c r="F2"/>
    </row>
    <row r="3" spans="1:10" x14ac:dyDescent="0.2">
      <c r="A3" s="10" t="s">
        <v>9</v>
      </c>
      <c r="B3" s="11" t="s">
        <v>3</v>
      </c>
      <c r="C3" s="11" t="s">
        <v>10</v>
      </c>
      <c r="D3" s="12" t="s">
        <v>36</v>
      </c>
      <c r="E3" s="18"/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</row>
    <row r="4" spans="1:10" s="5" customFormat="1" x14ac:dyDescent="0.2">
      <c r="A4" s="16" t="s">
        <v>7</v>
      </c>
      <c r="B4" s="5" t="s">
        <v>5</v>
      </c>
      <c r="C4" s="5">
        <v>1</v>
      </c>
      <c r="D4" s="17">
        <f t="shared" ref="D4:D19" si="0">H4</f>
        <v>2765</v>
      </c>
      <c r="F4" s="5">
        <v>2765</v>
      </c>
      <c r="G4" s="6">
        <v>1</v>
      </c>
      <c r="H4" s="5">
        <f t="shared" ref="H4:H19" si="1">F4*G4</f>
        <v>2765</v>
      </c>
    </row>
    <row r="5" spans="1:10" x14ac:dyDescent="0.2">
      <c r="A5" s="15" t="s">
        <v>7</v>
      </c>
      <c r="B5" t="s">
        <v>5</v>
      </c>
      <c r="C5">
        <v>2</v>
      </c>
      <c r="D5" s="14">
        <f t="shared" si="0"/>
        <v>4765</v>
      </c>
      <c r="F5">
        <f>F$4+2000</f>
        <v>4765</v>
      </c>
      <c r="G5" s="4">
        <v>1</v>
      </c>
      <c r="H5">
        <f t="shared" si="1"/>
        <v>4765</v>
      </c>
      <c r="I5" t="s">
        <v>43</v>
      </c>
    </row>
    <row r="6" spans="1:10" x14ac:dyDescent="0.2">
      <c r="A6" s="15" t="s">
        <v>7</v>
      </c>
      <c r="B6" t="s">
        <v>5</v>
      </c>
      <c r="C6">
        <v>3</v>
      </c>
      <c r="D6" s="14">
        <f t="shared" si="0"/>
        <v>4765</v>
      </c>
      <c r="F6">
        <f t="shared" ref="F6:F11" si="2">F$4+2000</f>
        <v>4765</v>
      </c>
      <c r="G6" s="4">
        <v>1</v>
      </c>
      <c r="H6">
        <f t="shared" si="1"/>
        <v>4765</v>
      </c>
    </row>
    <row r="7" spans="1:10" x14ac:dyDescent="0.2">
      <c r="A7" s="15" t="s">
        <v>7</v>
      </c>
      <c r="B7" t="s">
        <v>5</v>
      </c>
      <c r="C7">
        <v>4</v>
      </c>
      <c r="D7" s="14">
        <f t="shared" si="0"/>
        <v>4765</v>
      </c>
      <c r="F7">
        <f t="shared" si="2"/>
        <v>4765</v>
      </c>
      <c r="G7" s="4">
        <v>1</v>
      </c>
      <c r="H7">
        <f t="shared" si="1"/>
        <v>4765</v>
      </c>
    </row>
    <row r="8" spans="1:10" x14ac:dyDescent="0.2">
      <c r="A8" s="15" t="s">
        <v>7</v>
      </c>
      <c r="B8" t="s">
        <v>5</v>
      </c>
      <c r="C8">
        <v>5</v>
      </c>
      <c r="D8" s="14">
        <f t="shared" si="0"/>
        <v>4765</v>
      </c>
      <c r="F8">
        <f t="shared" si="2"/>
        <v>4765</v>
      </c>
      <c r="G8" s="4">
        <v>1</v>
      </c>
      <c r="H8">
        <f t="shared" si="1"/>
        <v>4765</v>
      </c>
    </row>
    <row r="9" spans="1:10" x14ac:dyDescent="0.2">
      <c r="A9" s="15" t="s">
        <v>7</v>
      </c>
      <c r="B9" t="s">
        <v>5</v>
      </c>
      <c r="C9">
        <v>6</v>
      </c>
      <c r="D9" s="14">
        <f t="shared" si="0"/>
        <v>4765</v>
      </c>
      <c r="F9">
        <f t="shared" si="2"/>
        <v>4765</v>
      </c>
      <c r="G9" s="4">
        <v>1</v>
      </c>
      <c r="H9">
        <f t="shared" si="1"/>
        <v>4765</v>
      </c>
    </row>
    <row r="10" spans="1:10" x14ac:dyDescent="0.2">
      <c r="A10" s="15" t="s">
        <v>7</v>
      </c>
      <c r="B10" t="s">
        <v>5</v>
      </c>
      <c r="C10">
        <v>7</v>
      </c>
      <c r="D10" s="14">
        <f t="shared" si="0"/>
        <v>4765</v>
      </c>
      <c r="F10">
        <f t="shared" si="2"/>
        <v>4765</v>
      </c>
      <c r="G10" s="4">
        <v>1</v>
      </c>
      <c r="H10">
        <f t="shared" si="1"/>
        <v>4765</v>
      </c>
    </row>
    <row r="11" spans="1:10" x14ac:dyDescent="0.2">
      <c r="A11" s="15" t="s">
        <v>7</v>
      </c>
      <c r="B11" t="s">
        <v>5</v>
      </c>
      <c r="C11">
        <v>8</v>
      </c>
      <c r="D11" s="14">
        <f t="shared" si="0"/>
        <v>4765</v>
      </c>
      <c r="F11">
        <f t="shared" si="2"/>
        <v>4765</v>
      </c>
      <c r="G11" s="4">
        <v>1</v>
      </c>
      <c r="H11">
        <f t="shared" si="1"/>
        <v>4765</v>
      </c>
    </row>
    <row r="12" spans="1:10" s="5" customFormat="1" x14ac:dyDescent="0.2">
      <c r="A12" s="16" t="s">
        <v>6</v>
      </c>
      <c r="B12" s="5" t="s">
        <v>5</v>
      </c>
      <c r="C12" s="5">
        <v>1</v>
      </c>
      <c r="D12" s="17">
        <f t="shared" si="0"/>
        <v>2300</v>
      </c>
      <c r="F12" s="5">
        <v>2300</v>
      </c>
      <c r="G12" s="6">
        <v>1</v>
      </c>
      <c r="H12" s="5">
        <f t="shared" si="1"/>
        <v>2300</v>
      </c>
    </row>
    <row r="13" spans="1:10" x14ac:dyDescent="0.2">
      <c r="A13" s="15" t="s">
        <v>6</v>
      </c>
      <c r="B13" t="s">
        <v>5</v>
      </c>
      <c r="C13">
        <v>2</v>
      </c>
      <c r="D13" s="14">
        <f t="shared" si="0"/>
        <v>2300</v>
      </c>
      <c r="F13">
        <v>2300</v>
      </c>
      <c r="G13" s="4">
        <v>1</v>
      </c>
      <c r="H13">
        <f t="shared" si="1"/>
        <v>2300</v>
      </c>
    </row>
    <row r="14" spans="1:10" x14ac:dyDescent="0.2">
      <c r="A14" s="15" t="s">
        <v>6</v>
      </c>
      <c r="B14" t="s">
        <v>5</v>
      </c>
      <c r="C14">
        <v>3</v>
      </c>
      <c r="D14" s="14">
        <f t="shared" si="0"/>
        <v>4100</v>
      </c>
      <c r="F14">
        <f>F$13+1800</f>
        <v>4100</v>
      </c>
      <c r="G14" s="4">
        <v>1</v>
      </c>
      <c r="H14">
        <f t="shared" si="1"/>
        <v>4100</v>
      </c>
      <c r="I14" t="s">
        <v>44</v>
      </c>
    </row>
    <row r="15" spans="1:10" x14ac:dyDescent="0.2">
      <c r="A15" s="15" t="s">
        <v>6</v>
      </c>
      <c r="B15" t="s">
        <v>5</v>
      </c>
      <c r="C15">
        <v>4</v>
      </c>
      <c r="D15" s="14">
        <f t="shared" si="0"/>
        <v>4100</v>
      </c>
      <c r="F15">
        <f t="shared" ref="F15:F19" si="3">F$13+1800</f>
        <v>4100</v>
      </c>
      <c r="G15" s="4">
        <v>1</v>
      </c>
      <c r="H15">
        <f t="shared" si="1"/>
        <v>4100</v>
      </c>
    </row>
    <row r="16" spans="1:10" x14ac:dyDescent="0.2">
      <c r="A16" s="15" t="s">
        <v>6</v>
      </c>
      <c r="B16" t="s">
        <v>5</v>
      </c>
      <c r="C16">
        <v>5</v>
      </c>
      <c r="D16" s="14">
        <f t="shared" si="0"/>
        <v>4100</v>
      </c>
      <c r="F16">
        <f t="shared" si="3"/>
        <v>4100</v>
      </c>
      <c r="G16" s="4">
        <v>1</v>
      </c>
      <c r="H16">
        <f t="shared" si="1"/>
        <v>4100</v>
      </c>
    </row>
    <row r="17" spans="1:8" x14ac:dyDescent="0.2">
      <c r="A17" s="15" t="s">
        <v>6</v>
      </c>
      <c r="B17" t="s">
        <v>5</v>
      </c>
      <c r="C17">
        <v>6</v>
      </c>
      <c r="D17" s="14">
        <f t="shared" si="0"/>
        <v>4100</v>
      </c>
      <c r="F17">
        <f t="shared" si="3"/>
        <v>4100</v>
      </c>
      <c r="G17" s="4">
        <v>1</v>
      </c>
      <c r="H17">
        <f t="shared" si="1"/>
        <v>4100</v>
      </c>
    </row>
    <row r="18" spans="1:8" x14ac:dyDescent="0.2">
      <c r="A18" s="15" t="s">
        <v>6</v>
      </c>
      <c r="B18" t="s">
        <v>5</v>
      </c>
      <c r="C18">
        <v>7</v>
      </c>
      <c r="D18" s="14">
        <f t="shared" si="0"/>
        <v>4100</v>
      </c>
      <c r="F18">
        <f t="shared" si="3"/>
        <v>4100</v>
      </c>
      <c r="G18" s="4">
        <v>1</v>
      </c>
      <c r="H18">
        <f t="shared" si="1"/>
        <v>4100</v>
      </c>
    </row>
    <row r="19" spans="1:8" x14ac:dyDescent="0.2">
      <c r="A19" s="15" t="s">
        <v>6</v>
      </c>
      <c r="B19" t="s">
        <v>5</v>
      </c>
      <c r="C19">
        <v>8</v>
      </c>
      <c r="D19" s="14">
        <f t="shared" si="0"/>
        <v>4100</v>
      </c>
      <c r="F19">
        <f t="shared" si="3"/>
        <v>4100</v>
      </c>
      <c r="G19" s="4">
        <v>1</v>
      </c>
      <c r="H19">
        <f t="shared" si="1"/>
        <v>4100</v>
      </c>
    </row>
  </sheetData>
  <autoFilter ref="A1:D19" xr:uid="{AC107CCD-C124-48E5-A575-724371EBF470}"/>
  <phoneticPr fontId="5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02A7-7506-4F39-892F-F25FE44F03EF}">
  <dimension ref="A1:C5"/>
  <sheetViews>
    <sheetView tabSelected="1" workbookViewId="0">
      <selection activeCell="F36" sqref="F36"/>
    </sheetView>
  </sheetViews>
  <sheetFormatPr baseColWidth="10" defaultColWidth="11.5" defaultRowHeight="15" x14ac:dyDescent="0.2"/>
  <cols>
    <col min="1" max="1" width="18.6640625" bestFit="1" customWidth="1"/>
    <col min="3" max="3" width="19.6640625" bestFit="1" customWidth="1"/>
  </cols>
  <sheetData>
    <row r="1" spans="1:3" x14ac:dyDescent="0.2">
      <c r="A1" t="s">
        <v>0</v>
      </c>
    </row>
    <row r="2" spans="1:3" x14ac:dyDescent="0.2">
      <c r="A2" t="s">
        <v>45</v>
      </c>
    </row>
    <row r="3" spans="1:3" x14ac:dyDescent="0.2">
      <c r="A3" t="s">
        <v>9</v>
      </c>
      <c r="B3" t="s">
        <v>46</v>
      </c>
      <c r="C3" t="s">
        <v>47</v>
      </c>
    </row>
    <row r="4" spans="1:3" x14ac:dyDescent="0.2">
      <c r="A4" t="s">
        <v>7</v>
      </c>
      <c r="B4" t="s">
        <v>5</v>
      </c>
      <c r="C4">
        <v>40</v>
      </c>
    </row>
    <row r="5" spans="1:3" x14ac:dyDescent="0.2">
      <c r="A5" t="s">
        <v>6</v>
      </c>
      <c r="B5" t="s">
        <v>5</v>
      </c>
      <c r="C5">
        <v>40</v>
      </c>
    </row>
  </sheetData>
  <autoFilter ref="A1:C88" xr:uid="{F951B1BB-E02A-413F-988E-4E07A0E5FA19}"/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f0d66-b3db-4c81-87bc-15f9b72a49e2">
      <Terms xmlns="http://schemas.microsoft.com/office/infopath/2007/PartnerControls"/>
    </lcf76f155ced4ddcb4097134ff3c332f>
    <TaxCatchAll xmlns="c1406b29-91bf-464c-9cd2-26ba5eb0613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967323C0D5D438811C071A0F9DCC2" ma:contentTypeVersion="7" ma:contentTypeDescription="Create a new document." ma:contentTypeScope="" ma:versionID="353942b3c9e23ae229b89b5a23a9726c">
  <xsd:schema xmlns:xsd="http://www.w3.org/2001/XMLSchema" xmlns:xs="http://www.w3.org/2001/XMLSchema" xmlns:p="http://schemas.microsoft.com/office/2006/metadata/properties" xmlns:ns2="d8af0d66-b3db-4c81-87bc-15f9b72a49e2" xmlns:ns3="c1406b29-91bf-464c-9cd2-26ba5eb06139" targetNamespace="http://schemas.microsoft.com/office/2006/metadata/properties" ma:root="true" ma:fieldsID="9517eddca9b36023fd1bfdd1b7c5b54a" ns2:_="" ns3:_="">
    <xsd:import namespace="d8af0d66-b3db-4c81-87bc-15f9b72a49e2"/>
    <xsd:import namespace="c1406b29-91bf-464c-9cd2-26ba5eb06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06b29-91bf-464c-9cd2-26ba5eb061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250c54-b404-42cf-b038-5d971d03d7f9}" ma:internalName="TaxCatchAll" ma:showField="CatchAllData" ma:web="c1406b29-91bf-464c-9cd2-26ba5eb06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8A3EF0-56C2-45AE-A076-2354C33E21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B06C48-A7A4-4E2D-A68E-635A76B160C8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8af0d66-b3db-4c81-87bc-15f9b72a49e2"/>
    <ds:schemaRef ds:uri="http://www.w3.org/XML/1998/namespace"/>
    <ds:schemaRef ds:uri="c1406b29-91bf-464c-9cd2-26ba5eb06139"/>
  </ds:schemaRefs>
</ds:datastoreItem>
</file>

<file path=customXml/itemProps3.xml><?xml version="1.0" encoding="utf-8"?>
<ds:datastoreItem xmlns:ds="http://schemas.openxmlformats.org/officeDocument/2006/customXml" ds:itemID="{9AF0435C-5A59-449A-884F-6FFF6571EF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c1406b29-91bf-464c-9cd2-26ba5eb06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lineEfficiency</vt:lpstr>
      <vt:lpstr>MaxBuiltCapacity</vt:lpstr>
      <vt:lpstr>Length</vt:lpstr>
      <vt:lpstr>TypeCapitalCost</vt:lpstr>
      <vt:lpstr>TypeFixedOMCost</vt:lpstr>
      <vt:lpstr>InitialCapacity</vt:lpstr>
      <vt:lpstr>MaxInstallCapacityRaw</vt:lpstr>
      <vt:lpstr>Lifetime</vt:lpstr>
      <vt:lpstr>line</vt:lpstr>
      <vt:lpstr>line2</vt:lpstr>
    </vt:vector>
  </TitlesOfParts>
  <Manager/>
  <Company>Industrial Economics and Technology Management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Ozgu Turgut</dc:creator>
  <cp:keywords/>
  <dc:description/>
  <cp:lastModifiedBy>Kwon, Taehyeon</cp:lastModifiedBy>
  <cp:revision/>
  <dcterms:created xsi:type="dcterms:W3CDTF">2018-02-19T14:02:31Z</dcterms:created>
  <dcterms:modified xsi:type="dcterms:W3CDTF">2024-07-22T20:35:49Z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  <property fmtid="{D5CDD505-2E9C-101B-9397-08002B2CF9AE}" pid="3" name="SaveCode">
    <vt:r8>265721619129180</vt:r8>
  </property>
</Properties>
</file>
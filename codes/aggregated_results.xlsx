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tzk5446_psu_edu/Documents/Research/NeurMHSP/"/>
    </mc:Choice>
  </mc:AlternateContent>
  <xr:revisionPtr revIDLastSave="459" documentId="8_{42F0E33D-AA6D-DA46-B6F7-684564DB05A1}" xr6:coauthVersionLast="47" xr6:coauthVersionMax="47" xr10:uidLastSave="{348CCA4E-66DE-D54D-B790-FF5B72574ABD}"/>
  <bookViews>
    <workbookView xWindow="11700" yWindow="600" windowWidth="17100" windowHeight="18040" xr2:uid="{6486C93F-2B75-6942-85A3-C34F7E1362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" i="1" l="1"/>
  <c r="Z4" i="1"/>
  <c r="AA4" i="1"/>
  <c r="M19" i="1"/>
  <c r="M20" i="1"/>
  <c r="M21" i="1"/>
  <c r="M18" i="1"/>
  <c r="I18" i="1"/>
  <c r="M17" i="1"/>
  <c r="K19" i="1" a="1"/>
  <c r="K19" i="1" s="1"/>
  <c r="L19" i="1" s="1"/>
  <c r="K20" i="1" a="1"/>
  <c r="K20" i="1" s="1"/>
  <c r="L20" i="1" s="1"/>
  <c r="K21" i="1" a="1"/>
  <c r="K21" i="1" s="1"/>
  <c r="L21" i="1" s="1"/>
  <c r="K18" i="1" a="1"/>
  <c r="K18" i="1" s="1"/>
  <c r="K17" i="1" a="1"/>
  <c r="K17" i="1" s="1"/>
  <c r="J19" i="1"/>
  <c r="I19" i="1"/>
  <c r="I20" i="1"/>
  <c r="I21" i="1"/>
  <c r="I17" i="1"/>
  <c r="AA10" i="1"/>
  <c r="AA11" i="1"/>
  <c r="AA12" i="1"/>
  <c r="AA9" i="1"/>
  <c r="Z9" i="1"/>
  <c r="Z10" i="1"/>
  <c r="Z11" i="1"/>
  <c r="Z12" i="1"/>
  <c r="Y9" i="1"/>
  <c r="Y10" i="1"/>
  <c r="Y11" i="1"/>
  <c r="Y12" i="1"/>
  <c r="AO3" i="1"/>
  <c r="AO4" i="1"/>
  <c r="AO5" i="1"/>
  <c r="AO6" i="1"/>
  <c r="AO7" i="1"/>
  <c r="AO8" i="1"/>
  <c r="AO9" i="1"/>
  <c r="AW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J20" i="1" s="1"/>
  <c r="AO23" i="1"/>
  <c r="AO24" i="1"/>
  <c r="AO25" i="1"/>
  <c r="AO26" i="1"/>
  <c r="AW27" i="1"/>
  <c r="AO28" i="1"/>
  <c r="AW29" i="1"/>
  <c r="AO30" i="1"/>
  <c r="AO31" i="1"/>
  <c r="AO32" i="1"/>
  <c r="J21" i="1" s="1"/>
  <c r="AO33" i="1"/>
  <c r="AO34" i="1"/>
  <c r="AO35" i="1"/>
  <c r="AO36" i="1"/>
  <c r="AO37" i="1"/>
  <c r="AO38" i="1"/>
  <c r="AO39" i="1"/>
  <c r="AO40" i="1"/>
  <c r="AO41" i="1"/>
  <c r="AO2" i="1"/>
  <c r="J18" i="1" s="1"/>
  <c r="E96" i="1"/>
  <c r="I8" i="1"/>
  <c r="L18" i="1" l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27" i="1"/>
  <c r="I9" i="1"/>
  <c r="I10" i="1"/>
  <c r="I11" i="1"/>
  <c r="I12" i="1"/>
  <c r="I13" i="1"/>
  <c r="I14" i="1"/>
  <c r="I15" i="1"/>
  <c r="I16" i="1"/>
  <c r="K8" i="1" a="1"/>
  <c r="K8" i="1" s="1"/>
  <c r="L8" i="1" s="1"/>
  <c r="Z5" i="1"/>
  <c r="Z6" i="1"/>
  <c r="Z7" i="1"/>
  <c r="Y5" i="1"/>
  <c r="Y6" i="1"/>
  <c r="Y7" i="1"/>
  <c r="AA5" i="1"/>
  <c r="AA6" i="1"/>
  <c r="AA7" i="1"/>
  <c r="E73" i="1"/>
  <c r="E72" i="1"/>
  <c r="E71" i="1"/>
  <c r="E69" i="1"/>
  <c r="E68" i="1"/>
  <c r="E6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58" i="1"/>
  <c r="E59" i="1"/>
  <c r="E60" i="1"/>
  <c r="E61" i="1"/>
  <c r="E62" i="1"/>
  <c r="E63" i="1"/>
  <c r="E64" i="1"/>
  <c r="M65" i="1"/>
  <c r="E66" i="1"/>
  <c r="E70" i="1"/>
  <c r="E74" i="1"/>
  <c r="E75" i="1"/>
  <c r="E76" i="1"/>
  <c r="E77" i="1"/>
  <c r="E78" i="1"/>
  <c r="E79" i="1"/>
  <c r="E80" i="1"/>
  <c r="M81" i="1"/>
  <c r="E82" i="1"/>
  <c r="E83" i="1"/>
  <c r="E84" i="1"/>
  <c r="E85" i="1"/>
  <c r="E86" i="1"/>
  <c r="E87" i="1"/>
  <c r="E88" i="1"/>
  <c r="E89" i="1"/>
  <c r="E90" i="1"/>
  <c r="E91" i="1"/>
  <c r="E92" i="1"/>
  <c r="M93" i="1"/>
  <c r="E94" i="1"/>
  <c r="E95" i="1"/>
  <c r="E2" i="1"/>
  <c r="K16" i="1" a="1"/>
  <c r="K16" i="1" s="1"/>
  <c r="L16" i="1" s="1"/>
  <c r="M9" i="1"/>
  <c r="M10" i="1"/>
  <c r="M11" i="1"/>
  <c r="M12" i="1"/>
  <c r="M13" i="1"/>
  <c r="M14" i="1"/>
  <c r="M15" i="1"/>
  <c r="M16" i="1"/>
  <c r="M8" i="1"/>
  <c r="J17" i="1" l="1"/>
  <c r="J8" i="1"/>
  <c r="J10" i="1"/>
  <c r="J14" i="1"/>
  <c r="J11" i="1"/>
  <c r="J9" i="1"/>
  <c r="J13" i="1"/>
  <c r="J12" i="1"/>
  <c r="K12" i="1" a="1"/>
  <c r="K12" i="1" s="1"/>
  <c r="L12" i="1" s="1"/>
  <c r="J15" i="1"/>
  <c r="J16" i="1"/>
  <c r="K15" i="1" a="1"/>
  <c r="K15" i="1" s="1"/>
  <c r="L15" i="1" s="1"/>
  <c r="K13" i="1" a="1"/>
  <c r="K13" i="1" s="1"/>
  <c r="L13" i="1" s="1"/>
  <c r="K14" i="1" a="1"/>
  <c r="K14" i="1" s="1"/>
  <c r="L14" i="1" s="1"/>
  <c r="K10" i="1" a="1"/>
  <c r="K10" i="1" s="1"/>
  <c r="L10" i="1" s="1"/>
  <c r="K11" i="1" a="1"/>
  <c r="K11" i="1" s="1"/>
  <c r="L11" i="1" s="1"/>
  <c r="K9" i="1" a="1"/>
  <c r="K9" i="1" s="1"/>
  <c r="L9" i="1" s="1"/>
  <c r="L1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<sst xmlns="http://schemas.openxmlformats.org/spreadsheetml/2006/main" count="293" uniqueCount="42">
  <si>
    <t>Method</t>
  </si>
  <si>
    <t>EF(100)</t>
  </si>
  <si>
    <t>solution_number</t>
  </si>
  <si>
    <t>EF(5)</t>
  </si>
  <si>
    <t>EF(10)</t>
  </si>
  <si>
    <t>EF(20)</t>
  </si>
  <si>
    <t>PH(5)</t>
  </si>
  <si>
    <t>PH(10)</t>
  </si>
  <si>
    <t>PH(20)</t>
  </si>
  <si>
    <t>computation_time</t>
  </si>
  <si>
    <t>total_cost</t>
  </si>
  <si>
    <t>NA</t>
  </si>
  <si>
    <t>LR(1K)</t>
  </si>
  <si>
    <t>MLP(1K)</t>
  </si>
  <si>
    <t>LR(5K)</t>
  </si>
  <si>
    <t>MLP(5K)</t>
  </si>
  <si>
    <t>avg_optimality_gap</t>
  </si>
  <si>
    <t>avg_computation_time</t>
  </si>
  <si>
    <t>optimality_gap_ef_100</t>
  </si>
  <si>
    <t>avg_std</t>
  </si>
  <si>
    <t>MLP</t>
  </si>
  <si>
    <t>LR</t>
  </si>
  <si>
    <t>ML performance</t>
  </si>
  <si>
    <t>seed</t>
  </si>
  <si>
    <t>model_type</t>
  </si>
  <si>
    <t>training_time_sec</t>
  </si>
  <si>
    <t>r2_score</t>
  </si>
  <si>
    <t>mape_percent</t>
  </si>
  <si>
    <t>numsce</t>
  </si>
  <si>
    <t># possible error (poor ml model performance)</t>
  </si>
  <si>
    <t xml:space="preserve">model </t>
  </si>
  <si>
    <t>r2</t>
  </si>
  <si>
    <t>mape</t>
  </si>
  <si>
    <t>coefficient_variance</t>
  </si>
  <si>
    <t>avg_tc</t>
  </si>
  <si>
    <t xml:space="preserve">fixed </t>
  </si>
  <si>
    <t>Adaptive</t>
  </si>
  <si>
    <t>Fixed</t>
  </si>
  <si>
    <t>Apative</t>
  </si>
  <si>
    <t>Adpative</t>
  </si>
  <si>
    <t>Training Time</t>
  </si>
  <si>
    <t>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</si>
</sst>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E+00"/>
    <numFmt numFmtId="165" formatCode="0.000"/>
  </numFmts>
  <fonts count="6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sz val="12"/>
      <color theme="1"/>
      <name val="Aptos"/>
    </font>
    <font>
      <b/>
      <sz val="10"/>
      <color rgb="FF000000"/>
      <name val="Helvetica Neue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2" fillId="0" borderId="0" xfId="0" applyNumberFormat="1" applyFont="1"/>
    <xf numFmtId="165" fontId="1" fillId="0" borderId="0" xfId="0" applyNumberFormat="1" applyFont="1"/>
    <xf numFmtId="165" fontId="0" fillId="0" borderId="0" xfId="0" applyNumberFormat="1"/>
    <xf numFmtId="164" fontId="0" fillId="0" borderId="0" xfId="0" applyNumberFormat="1"/>
    <xf numFmtId="2" fontId="0" fillId="0" borderId="0" xfId="0" applyNumberFormat="1"/>
    <xf numFmtId="11" fontId="0" fillId="0" borderId="0" xfId="0" applyNumberFormat="1"/>
    <xf numFmtId="0" fontId="3" fillId="0" borderId="0" xfId="0" applyFont="1"/>
    <xf numFmtId="10" fontId="0" fillId="0" borderId="0" xfId="1" applyNumberFormat="1" applyFont="1"/>
    <xf numFmtId="0" fontId="5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28AC5-75D8-F74D-B350-4B2B6A11BEC0}">
  <dimension ref="A1:AW96"/>
  <sheetViews>
    <sheetView tabSelected="1" topLeftCell="I32" zoomScale="66" workbookViewId="0">
      <selection activeCell="P68" sqref="P68"/>
    </sheetView>
  </sheetViews>
  <sheetFormatPr baseColWidth="10" defaultRowHeight="16" x14ac:dyDescent="0.2"/>
  <cols>
    <col min="2" max="2" width="14.6640625" bestFit="1" customWidth="1"/>
    <col min="3" max="3" width="10.6640625" bestFit="1" customWidth="1"/>
    <col min="4" max="4" width="16" bestFit="1" customWidth="1"/>
    <col min="5" max="5" width="19.33203125" bestFit="1" customWidth="1"/>
    <col min="6" max="6" width="14" customWidth="1"/>
    <col min="7" max="7" width="38" bestFit="1" customWidth="1"/>
    <col min="9" max="9" width="14.6640625" bestFit="1" customWidth="1"/>
    <col min="10" max="10" width="16" customWidth="1"/>
    <col min="15" max="15" width="14.1640625" bestFit="1" customWidth="1"/>
    <col min="16" max="16" width="5.1640625" bestFit="1" customWidth="1"/>
    <col min="17" max="17" width="10.5" bestFit="1" customWidth="1"/>
  </cols>
  <sheetData>
    <row r="1" spans="1:49" x14ac:dyDescent="0.2">
      <c r="A1" t="s">
        <v>0</v>
      </c>
      <c r="B1" t="s">
        <v>2</v>
      </c>
      <c r="C1" t="s">
        <v>10</v>
      </c>
      <c r="D1" t="s">
        <v>9</v>
      </c>
      <c r="E1" t="s">
        <v>18</v>
      </c>
      <c r="H1" t="s">
        <v>0</v>
      </c>
      <c r="I1" t="s">
        <v>2</v>
      </c>
      <c r="J1" t="s">
        <v>10</v>
      </c>
      <c r="K1" t="s">
        <v>9</v>
      </c>
      <c r="O1" t="s">
        <v>22</v>
      </c>
      <c r="AD1" t="s">
        <v>22</v>
      </c>
      <c r="AK1" t="s">
        <v>35</v>
      </c>
    </row>
    <row r="2" spans="1:49" x14ac:dyDescent="0.2">
      <c r="A2" t="s">
        <v>3</v>
      </c>
      <c r="B2" s="1">
        <v>11</v>
      </c>
      <c r="C2" s="2">
        <v>2079480000000</v>
      </c>
      <c r="D2" s="4">
        <v>666.232528</v>
      </c>
      <c r="E2" s="6">
        <f t="shared" ref="E2:E26" si="0">ABS(C2-$J$2)/$J$2</f>
        <v>2.7895632307916685E-2</v>
      </c>
      <c r="H2" t="s">
        <v>1</v>
      </c>
      <c r="I2">
        <v>1</v>
      </c>
      <c r="J2">
        <v>2023045856641.0859</v>
      </c>
      <c r="K2" t="s">
        <v>11</v>
      </c>
      <c r="O2" t="s">
        <v>36</v>
      </c>
      <c r="W2" s="9" t="s">
        <v>30</v>
      </c>
      <c r="X2" s="9" t="s">
        <v>28</v>
      </c>
      <c r="Y2" s="9" t="s">
        <v>31</v>
      </c>
      <c r="Z2" s="9" t="s">
        <v>32</v>
      </c>
      <c r="AA2" s="9" t="s">
        <v>40</v>
      </c>
      <c r="AD2" t="s">
        <v>37</v>
      </c>
      <c r="AK2" t="s">
        <v>12</v>
      </c>
      <c r="AL2">
        <v>1</v>
      </c>
      <c r="AM2" s="6">
        <v>2167022813314.8345</v>
      </c>
      <c r="AN2" s="1">
        <v>0.55067396163940396</v>
      </c>
      <c r="AO2" s="6">
        <f>ABS(AM2-$J$2)/$J$2</f>
        <v>7.1168409851468772E-2</v>
      </c>
    </row>
    <row r="3" spans="1:49" x14ac:dyDescent="0.2">
      <c r="A3" t="s">
        <v>3</v>
      </c>
      <c r="B3" s="1">
        <v>12</v>
      </c>
      <c r="C3" s="2">
        <v>2060520000000</v>
      </c>
      <c r="D3" s="4">
        <v>729.62580400000002</v>
      </c>
      <c r="E3" s="6">
        <f t="shared" si="0"/>
        <v>1.852362527319738E-2</v>
      </c>
      <c r="O3" s="9" t="s">
        <v>28</v>
      </c>
      <c r="P3" s="9" t="s">
        <v>23</v>
      </c>
      <c r="Q3" s="9" t="s">
        <v>24</v>
      </c>
      <c r="R3" s="9" t="s">
        <v>25</v>
      </c>
      <c r="S3" s="9" t="s">
        <v>26</v>
      </c>
      <c r="T3" s="9" t="s">
        <v>27</v>
      </c>
      <c r="W3" s="11" t="s">
        <v>38</v>
      </c>
      <c r="AD3" s="9" t="s">
        <v>28</v>
      </c>
      <c r="AE3" s="9" t="s">
        <v>23</v>
      </c>
      <c r="AF3" s="9" t="s">
        <v>24</v>
      </c>
      <c r="AG3" s="9" t="s">
        <v>25</v>
      </c>
      <c r="AH3" s="9" t="s">
        <v>26</v>
      </c>
      <c r="AI3" s="9" t="s">
        <v>27</v>
      </c>
      <c r="AK3" t="s">
        <v>12</v>
      </c>
      <c r="AL3">
        <v>2</v>
      </c>
      <c r="AM3" s="6">
        <v>2124678782571.752</v>
      </c>
      <c r="AN3" s="1">
        <v>0.58491206169128396</v>
      </c>
      <c r="AO3" s="6">
        <f t="shared" ref="AO3:AO41" si="1">ABS(AM3-$J$2)/$J$2</f>
        <v>5.0237578944161809E-2</v>
      </c>
    </row>
    <row r="4" spans="1:49" x14ac:dyDescent="0.2">
      <c r="A4" t="s">
        <v>3</v>
      </c>
      <c r="B4" s="1">
        <v>13</v>
      </c>
      <c r="C4" s="2">
        <v>2063830000000</v>
      </c>
      <c r="D4" s="4">
        <v>769.22444900000005</v>
      </c>
      <c r="E4" s="6">
        <f t="shared" si="0"/>
        <v>2.0159772070925275E-2</v>
      </c>
      <c r="J4" s="3"/>
      <c r="O4" s="1">
        <v>1000</v>
      </c>
      <c r="P4" s="1">
        <v>1001</v>
      </c>
      <c r="Q4" s="1" t="s">
        <v>20</v>
      </c>
      <c r="R4" s="1">
        <v>25.309183835983301</v>
      </c>
      <c r="S4" s="1">
        <v>0.88799583911895796</v>
      </c>
      <c r="T4" s="1">
        <v>7.0947609841823596</v>
      </c>
      <c r="W4" t="s">
        <v>21</v>
      </c>
      <c r="X4">
        <v>1000</v>
      </c>
      <c r="Y4" s="7">
        <f>AVERAGEIFS($S:$S, $Q:$Q, $W4, $O:$O, $X4)</f>
        <v>0.74515692591667193</v>
      </c>
      <c r="Z4" s="7">
        <f>AVERAGEIFS($T:$T, $Q:$Q, $W4, $O:$O, $X4)</f>
        <v>10.794398263096816</v>
      </c>
      <c r="AA4" s="7">
        <f>AVERAGEIFS($R:$R, $Q:$Q, $W4, $O:$O, $X4)</f>
        <v>2.6742100715637207E-2</v>
      </c>
      <c r="AD4" s="1">
        <v>1000</v>
      </c>
      <c r="AE4" s="1">
        <v>1001</v>
      </c>
      <c r="AF4" s="1" t="s">
        <v>20</v>
      </c>
      <c r="AG4" s="1">
        <v>16.540271043777501</v>
      </c>
      <c r="AH4" s="1">
        <v>0.84219062328338601</v>
      </c>
      <c r="AI4" s="1">
        <v>8.3909228444099409</v>
      </c>
      <c r="AK4" t="s">
        <v>12</v>
      </c>
      <c r="AL4">
        <v>3</v>
      </c>
      <c r="AM4" s="6">
        <v>2101223012477.9468</v>
      </c>
      <c r="AN4" s="1">
        <v>0.98820614814758301</v>
      </c>
      <c r="AO4" s="6">
        <f t="shared" si="1"/>
        <v>3.8643294011466621E-2</v>
      </c>
    </row>
    <row r="5" spans="1:49" x14ac:dyDescent="0.2">
      <c r="A5" t="s">
        <v>3</v>
      </c>
      <c r="B5" s="1">
        <v>14</v>
      </c>
      <c r="C5" s="2">
        <v>2111470000000</v>
      </c>
      <c r="D5" s="4">
        <v>956.18440699999996</v>
      </c>
      <c r="E5" s="6">
        <f t="shared" si="0"/>
        <v>4.3708422658163021E-2</v>
      </c>
      <c r="O5" s="1">
        <v>1000</v>
      </c>
      <c r="P5" s="1">
        <v>1001</v>
      </c>
      <c r="Q5" s="1" t="s">
        <v>21</v>
      </c>
      <c r="R5" s="1">
        <v>3.5399913787841797E-2</v>
      </c>
      <c r="S5" s="1">
        <v>0.79904967546463002</v>
      </c>
      <c r="T5" s="1">
        <v>9.7378797829151207</v>
      </c>
      <c r="W5" t="s">
        <v>20</v>
      </c>
      <c r="X5">
        <v>1000</v>
      </c>
      <c r="Y5" s="7">
        <f t="shared" ref="Y5:Y7" si="2">AVERAGEIFS($S:$S, $Q:$Q, $W5, $O:$O, $X5)</f>
        <v>0.85498095154762266</v>
      </c>
      <c r="Z5" s="7">
        <f t="shared" ref="Z5:Z7" si="3">AVERAGEIFS($T:$T, $Q:$Q, $W5, $O:$O, $X5)</f>
        <v>8.1788385659456289</v>
      </c>
      <c r="AA5" s="7">
        <f t="shared" ref="AA5:AA7" si="4">AVERAGEIFS($R:$R, $Q:$Q, $W5, $O:$O, $X5)</f>
        <v>24.660998153686535</v>
      </c>
      <c r="AD5" s="1">
        <v>1000</v>
      </c>
      <c r="AE5" s="1">
        <v>1001</v>
      </c>
      <c r="AF5" s="1" t="s">
        <v>21</v>
      </c>
      <c r="AG5" s="1">
        <v>3.55887413024902E-2</v>
      </c>
      <c r="AH5" s="1">
        <v>0.79904967546463002</v>
      </c>
      <c r="AI5" s="1">
        <v>9.7378797829151207</v>
      </c>
      <c r="AK5" t="s">
        <v>12</v>
      </c>
      <c r="AL5">
        <v>4</v>
      </c>
      <c r="AM5" s="6">
        <v>2184773346652.9219</v>
      </c>
      <c r="AN5" s="1">
        <v>0.95582699775695801</v>
      </c>
      <c r="AO5" s="6">
        <f t="shared" si="1"/>
        <v>7.9942572473545498E-2</v>
      </c>
    </row>
    <row r="6" spans="1:49" x14ac:dyDescent="0.2">
      <c r="A6" t="s">
        <v>3</v>
      </c>
      <c r="B6" s="1">
        <v>15</v>
      </c>
      <c r="C6" s="2">
        <v>2039150000000</v>
      </c>
      <c r="D6" s="4">
        <v>543.49134300000003</v>
      </c>
      <c r="E6" s="6">
        <f t="shared" si="0"/>
        <v>7.9603451923982473E-3</v>
      </c>
      <c r="H6" t="s">
        <v>41</v>
      </c>
      <c r="O6" s="1">
        <v>1000</v>
      </c>
      <c r="P6" s="1">
        <v>1002</v>
      </c>
      <c r="Q6" s="1" t="s">
        <v>20</v>
      </c>
      <c r="R6" s="1">
        <v>27.737466096878101</v>
      </c>
      <c r="S6" s="1">
        <v>0.87947922945022605</v>
      </c>
      <c r="T6" s="1">
        <v>7.6876439154148102</v>
      </c>
      <c r="W6" t="s">
        <v>21</v>
      </c>
      <c r="X6">
        <v>5000</v>
      </c>
      <c r="Y6" s="7">
        <f t="shared" si="2"/>
        <v>0.89995495080947896</v>
      </c>
      <c r="Z6" s="7">
        <f t="shared" si="3"/>
        <v>6.7450627684593183</v>
      </c>
      <c r="AA6" s="7">
        <f t="shared" si="4"/>
        <v>8.2935523986816431E-2</v>
      </c>
      <c r="AD6" s="1">
        <v>1000</v>
      </c>
      <c r="AE6" s="1">
        <v>1002</v>
      </c>
      <c r="AF6" s="1" t="s">
        <v>20</v>
      </c>
      <c r="AG6" s="1">
        <v>23.814120054244999</v>
      </c>
      <c r="AH6" s="1">
        <v>0.88003385066986095</v>
      </c>
      <c r="AI6" s="1">
        <v>7.9081960022449502</v>
      </c>
      <c r="AK6" t="s">
        <v>12</v>
      </c>
      <c r="AL6">
        <v>5</v>
      </c>
      <c r="AM6" s="6">
        <v>2113009522026.4067</v>
      </c>
      <c r="AN6" s="1">
        <v>0.92597889900207497</v>
      </c>
      <c r="AO6" s="6">
        <f t="shared" si="1"/>
        <v>4.4469414813310133E-2</v>
      </c>
    </row>
    <row r="7" spans="1:49" x14ac:dyDescent="0.2">
      <c r="A7" t="s">
        <v>3</v>
      </c>
      <c r="B7" s="1">
        <v>16</v>
      </c>
      <c r="C7" s="2">
        <v>2047100000000</v>
      </c>
      <c r="D7" s="4">
        <v>537.13433799999996</v>
      </c>
      <c r="E7" s="6">
        <f t="shared" si="0"/>
        <v>1.1890063331956184E-2</v>
      </c>
      <c r="H7" t="s">
        <v>0</v>
      </c>
      <c r="I7" t="s">
        <v>34</v>
      </c>
      <c r="J7" t="s">
        <v>16</v>
      </c>
      <c r="K7" t="s">
        <v>19</v>
      </c>
      <c r="L7" t="s">
        <v>33</v>
      </c>
      <c r="M7" t="s">
        <v>17</v>
      </c>
      <c r="N7" s="9"/>
      <c r="O7" s="1">
        <v>1000</v>
      </c>
      <c r="P7" s="1">
        <v>1002</v>
      </c>
      <c r="Q7" s="1" t="s">
        <v>21</v>
      </c>
      <c r="R7" s="1">
        <v>3.3713340759277302E-2</v>
      </c>
      <c r="S7" s="1">
        <v>0.79660618305206299</v>
      </c>
      <c r="T7" s="1">
        <v>10.8994610607624</v>
      </c>
      <c r="W7" t="s">
        <v>20</v>
      </c>
      <c r="X7">
        <v>5000</v>
      </c>
      <c r="Y7" s="7">
        <f t="shared" si="2"/>
        <v>0.91799085140228276</v>
      </c>
      <c r="Z7" s="7">
        <f t="shared" si="3"/>
        <v>5.9350335225462931</v>
      </c>
      <c r="AA7" s="7">
        <f t="shared" si="4"/>
        <v>101.72373290061945</v>
      </c>
      <c r="AD7" s="1">
        <v>1000</v>
      </c>
      <c r="AE7" s="1">
        <v>1002</v>
      </c>
      <c r="AF7" s="1" t="s">
        <v>21</v>
      </c>
      <c r="AG7" s="1">
        <v>1.55079364776611E-2</v>
      </c>
      <c r="AH7" s="1">
        <v>0.79660618305206299</v>
      </c>
      <c r="AI7" s="1">
        <v>10.8994610607624</v>
      </c>
      <c r="AK7" t="s">
        <v>12</v>
      </c>
      <c r="AL7">
        <v>6</v>
      </c>
      <c r="AM7" s="6">
        <v>2152801484429.5405</v>
      </c>
      <c r="AN7" s="1">
        <v>0.89645838737487804</v>
      </c>
      <c r="AO7" s="6">
        <f t="shared" si="1"/>
        <v>6.4138747701889043E-2</v>
      </c>
    </row>
    <row r="8" spans="1:49" x14ac:dyDescent="0.2">
      <c r="A8" t="s">
        <v>3</v>
      </c>
      <c r="B8" s="1">
        <v>17</v>
      </c>
      <c r="C8" s="2">
        <v>2104480000000</v>
      </c>
      <c r="D8" s="4">
        <v>1201.1934240000001</v>
      </c>
      <c r="E8" s="6">
        <f t="shared" si="0"/>
        <v>4.0253236520363028E-2</v>
      </c>
      <c r="H8" t="s">
        <v>3</v>
      </c>
      <c r="I8">
        <f>AVERAGEIFS($C:$C, $A:$A, $H8, $C:$C, "&gt;=0")</f>
        <v>2068356000000</v>
      </c>
      <c r="J8" s="10">
        <f>AVERAGEIFS($E:$E, $A:$A, $H8, $E:$E, "&gt;=0")</f>
        <v>2.239699273754656E-2</v>
      </c>
      <c r="K8" s="8" cm="1">
        <f t="array" ref="K8">_xlfn.LET(_xlpm.x, _xlfn._xlws.FILTER($C$2:$C$1000, ($A$2:$A$1000=$H8)*($C$2:$C$1000&gt;=0)), _xlfn.STDEV.S(_xlpm.x))</f>
        <v>23643261290.364418</v>
      </c>
      <c r="L8" s="10">
        <f>K8/I8</f>
        <v>1.1430943846399951E-2</v>
      </c>
      <c r="M8" s="7">
        <f t="shared" ref="M8:M13" si="5">AVERAGEIFS($D:$D, $A:$A, $H8, $D:$D, "&gt;0")</f>
        <v>722.66864139999996</v>
      </c>
      <c r="N8" s="9"/>
      <c r="O8" s="1">
        <v>1000</v>
      </c>
      <c r="P8" s="1">
        <v>1003</v>
      </c>
      <c r="Q8" s="1" t="s">
        <v>20</v>
      </c>
      <c r="R8" s="1">
        <v>27.2488980293274</v>
      </c>
      <c r="S8" s="1">
        <v>0.89513385295867898</v>
      </c>
      <c r="T8" s="1">
        <v>7.6086930930614498</v>
      </c>
      <c r="W8" s="11" t="s">
        <v>37</v>
      </c>
      <c r="AD8" s="1">
        <v>1000</v>
      </c>
      <c r="AE8" s="1">
        <v>1003</v>
      </c>
      <c r="AF8" s="1" t="s">
        <v>20</v>
      </c>
      <c r="AG8" s="1">
        <v>26.369022846221899</v>
      </c>
      <c r="AH8" s="1">
        <v>0.89306318759918202</v>
      </c>
      <c r="AI8" s="1">
        <v>7.5955934822559401</v>
      </c>
      <c r="AK8" t="s">
        <v>12</v>
      </c>
      <c r="AL8">
        <v>7</v>
      </c>
      <c r="AM8" s="6">
        <v>2080097948758.3994</v>
      </c>
      <c r="AN8" s="1">
        <v>0.92541909217834495</v>
      </c>
      <c r="AO8" s="6">
        <f t="shared" si="1"/>
        <v>2.8201086955111587E-2</v>
      </c>
    </row>
    <row r="9" spans="1:49" x14ac:dyDescent="0.2">
      <c r="A9" t="s">
        <v>3</v>
      </c>
      <c r="B9" s="1">
        <v>18</v>
      </c>
      <c r="C9" s="2">
        <v>2055460000000</v>
      </c>
      <c r="D9" s="4">
        <v>787.75479499999994</v>
      </c>
      <c r="E9" s="6">
        <f t="shared" si="0"/>
        <v>1.602244618059824E-2</v>
      </c>
      <c r="H9" t="s">
        <v>4</v>
      </c>
      <c r="I9">
        <f t="shared" ref="I9:I13" si="6">AVERAGEIFS($C:$C, $A:$A, $H9, $C:$C, "&gt;=0")</f>
        <v>2041513000000</v>
      </c>
      <c r="J9" s="10">
        <f t="shared" ref="J9:J13" si="7">AVERAGEIFS($E:$E, $A:$A, $H9, $E:$E, "&gt;=0")</f>
        <v>9.1283859425586745E-3</v>
      </c>
      <c r="K9" s="8" cm="1">
        <f t="array" ref="K9">_xlfn.LET(_xlpm.x, _xlfn._xlws.FILTER($C$2:$C$1000, ($A$2:$A$1000=$H9)*($C$2:$C$1000&gt;=0)), _xlfn.STDEV.S(_xlpm.x))</f>
        <v>6876509208.0858068</v>
      </c>
      <c r="L9" s="10">
        <f t="shared" ref="L9:L21" si="8">K9/I9</f>
        <v>3.3683396618516791E-3</v>
      </c>
      <c r="M9" s="7">
        <f t="shared" si="5"/>
        <v>1387.2596777000003</v>
      </c>
      <c r="N9" s="9"/>
      <c r="O9" s="1">
        <v>1000</v>
      </c>
      <c r="P9" s="1">
        <v>1003</v>
      </c>
      <c r="Q9" s="1" t="s">
        <v>21</v>
      </c>
      <c r="R9" s="1">
        <v>3.1563997268676799E-2</v>
      </c>
      <c r="S9" s="1">
        <v>0.82770258188247703</v>
      </c>
      <c r="T9" s="1">
        <v>9.4421729445457494</v>
      </c>
      <c r="W9" t="s">
        <v>21</v>
      </c>
      <c r="X9">
        <v>1000</v>
      </c>
      <c r="Y9" s="7">
        <f>AVERAGEIFS($AH:$AH, $AF:$AF, $W9, $AD:$AD, $X9)</f>
        <v>0.74515692591667193</v>
      </c>
      <c r="Z9" s="7">
        <f>AVERAGEIFS($AI:$AI, $AF:$AF, $W9, $AD:$AD, $X9)</f>
        <v>10.794398263096816</v>
      </c>
      <c r="AA9" s="7">
        <f>AVERAGEIFS($AG:$AG, $AF:$AF, $W9, $AD:$AD, $X9)</f>
        <v>1.7589306831359851E-2</v>
      </c>
      <c r="AD9" s="1">
        <v>1000</v>
      </c>
      <c r="AE9" s="1">
        <v>1003</v>
      </c>
      <c r="AF9" s="1" t="s">
        <v>21</v>
      </c>
      <c r="AG9" s="1">
        <v>1.6347885131835899E-2</v>
      </c>
      <c r="AH9" s="1">
        <v>0.82770258188247703</v>
      </c>
      <c r="AI9" s="1">
        <v>9.4421729445457494</v>
      </c>
      <c r="AK9" t="s">
        <v>12</v>
      </c>
      <c r="AL9">
        <v>8</v>
      </c>
      <c r="AM9" s="6">
        <v>2035074472320.6541</v>
      </c>
      <c r="AN9" s="1">
        <v>0.97127509117126498</v>
      </c>
      <c r="AO9" s="6">
        <f t="shared" si="1"/>
        <v>5.9457948716691621E-3</v>
      </c>
    </row>
    <row r="10" spans="1:49" x14ac:dyDescent="0.2">
      <c r="A10" t="s">
        <v>3</v>
      </c>
      <c r="B10" s="1">
        <v>19</v>
      </c>
      <c r="C10" s="2">
        <v>2067490000000</v>
      </c>
      <c r="D10" s="4">
        <v>549.99344599999995</v>
      </c>
      <c r="E10" s="6">
        <f t="shared" si="0"/>
        <v>2.1968925327627419E-2</v>
      </c>
      <c r="H10" t="s">
        <v>5</v>
      </c>
      <c r="I10">
        <f t="shared" si="6"/>
        <v>2033648000000</v>
      </c>
      <c r="J10" s="10">
        <f t="shared" si="7"/>
        <v>5.2406836573230565E-3</v>
      </c>
      <c r="K10" s="8" cm="1">
        <f t="array" ref="K10">_xlfn.LET(_xlpm.x, _xlfn._xlws.FILTER($C$2:$C$1000, ($A$2:$A$1000=$H10)*($C$2:$C$1000&gt;=0)), _xlfn.STDEV.S(_xlpm.x))</f>
        <v>3677046369.030448</v>
      </c>
      <c r="L10" s="10">
        <f t="shared" si="8"/>
        <v>1.8081036487290071E-3</v>
      </c>
      <c r="M10" s="7">
        <f t="shared" si="5"/>
        <v>3100.2550746000002</v>
      </c>
      <c r="N10" s="9"/>
      <c r="O10" s="1">
        <v>1000</v>
      </c>
      <c r="P10" s="1">
        <v>1004</v>
      </c>
      <c r="Q10" s="1" t="s">
        <v>20</v>
      </c>
      <c r="R10" s="1">
        <v>27.598410129547101</v>
      </c>
      <c r="S10" s="1">
        <v>0.88771045207977295</v>
      </c>
      <c r="T10" s="1">
        <v>7.8020900487899798</v>
      </c>
      <c r="W10" t="s">
        <v>20</v>
      </c>
      <c r="X10">
        <v>1000</v>
      </c>
      <c r="Y10" s="7">
        <f t="shared" ref="Y10:Y12" si="9">AVERAGEIFS($AH:$AH, $AF:$AF, $W10, $AD:$AD, $X10)</f>
        <v>0.78024582862854008</v>
      </c>
      <c r="Z10" s="7">
        <f t="shared" ref="Z10:Z12" si="10">AVERAGEIFS($AI:$AI, $AF:$AF, $W10, $AD:$AD, $X10)</f>
        <v>9.4705873727798426</v>
      </c>
      <c r="AA10" s="7">
        <f t="shared" ref="AA10:AA12" si="11">AVERAGEIFS($AG:$AG, $AF:$AF, $W10, $AD:$AD, $X10)</f>
        <v>25.176979970932017</v>
      </c>
      <c r="AD10" s="1">
        <v>1000</v>
      </c>
      <c r="AE10" s="1">
        <v>1004</v>
      </c>
      <c r="AF10" s="1" t="s">
        <v>20</v>
      </c>
      <c r="AG10" s="1">
        <v>26.493212223053</v>
      </c>
      <c r="AH10" s="1">
        <v>0.88917887210846003</v>
      </c>
      <c r="AI10" s="1">
        <v>7.2798833250999504</v>
      </c>
      <c r="AQ10" t="s">
        <v>29</v>
      </c>
      <c r="AS10" t="s">
        <v>12</v>
      </c>
      <c r="AT10">
        <v>9</v>
      </c>
      <c r="AU10" s="6">
        <v>2229009024896.0518</v>
      </c>
      <c r="AV10" s="1">
        <v>0.92843413352966297</v>
      </c>
      <c r="AW10" s="6">
        <f>ABS(AU10-$J$2)/$J$2</f>
        <v>0.1018084526254544</v>
      </c>
    </row>
    <row r="11" spans="1:49" x14ac:dyDescent="0.2">
      <c r="A11" t="s">
        <v>3</v>
      </c>
      <c r="B11" s="1">
        <v>20</v>
      </c>
      <c r="C11" s="2">
        <v>2054580000000</v>
      </c>
      <c r="D11" s="4">
        <v>485.85187999999999</v>
      </c>
      <c r="E11" s="6">
        <f t="shared" si="0"/>
        <v>1.5587458512320129E-2</v>
      </c>
      <c r="H11" t="s">
        <v>6</v>
      </c>
      <c r="I11">
        <f t="shared" si="6"/>
        <v>2061011201553.5806</v>
      </c>
      <c r="J11" s="10">
        <f t="shared" si="7"/>
        <v>1.8766428248704826E-2</v>
      </c>
      <c r="K11" s="8" cm="1">
        <f t="array" ref="K11">_xlfn.LET(_xlpm.x, _xlfn._xlws.FILTER($C$2:$C$1000, ($A$2:$A$1000=$H11)*($C$2:$C$1000&gt;=0)), _xlfn.STDEV.S(_xlpm.x))</f>
        <v>20069844147.026409</v>
      </c>
      <c r="L11" s="10">
        <f t="shared" si="8"/>
        <v>9.7378627209293456E-3</v>
      </c>
      <c r="M11" s="7">
        <f t="shared" si="5"/>
        <v>300</v>
      </c>
      <c r="N11" s="9"/>
      <c r="O11" s="1">
        <v>1000</v>
      </c>
      <c r="P11" s="1">
        <v>1004</v>
      </c>
      <c r="Q11" s="1" t="s">
        <v>21</v>
      </c>
      <c r="R11" s="1">
        <v>3.1707763671875E-2</v>
      </c>
      <c r="S11" s="1">
        <v>0.76719474792480502</v>
      </c>
      <c r="T11" s="1">
        <v>10.9887056052685</v>
      </c>
      <c r="W11" t="s">
        <v>21</v>
      </c>
      <c r="X11">
        <v>5000</v>
      </c>
      <c r="Y11" s="7">
        <f t="shared" si="9"/>
        <v>0.89995495080947896</v>
      </c>
      <c r="Z11" s="7">
        <f t="shared" si="10"/>
        <v>6.7450627684593183</v>
      </c>
      <c r="AA11" s="7">
        <f t="shared" si="11"/>
        <v>5.4259085655212425E-2</v>
      </c>
      <c r="AD11" s="1">
        <v>1000</v>
      </c>
      <c r="AE11" s="1">
        <v>1004</v>
      </c>
      <c r="AF11" s="1" t="s">
        <v>21</v>
      </c>
      <c r="AG11" s="1">
        <v>1.55918598175049E-2</v>
      </c>
      <c r="AH11" s="1">
        <v>0.76719474792480502</v>
      </c>
      <c r="AI11" s="1">
        <v>10.9887056052685</v>
      </c>
      <c r="AK11" t="s">
        <v>12</v>
      </c>
      <c r="AL11">
        <v>10</v>
      </c>
      <c r="AM11" s="6">
        <v>2246024483054.0786</v>
      </c>
      <c r="AN11" s="1">
        <v>0.91683363914489802</v>
      </c>
      <c r="AO11" s="6">
        <f t="shared" si="1"/>
        <v>0.11021926452186789</v>
      </c>
    </row>
    <row r="12" spans="1:49" x14ac:dyDescent="0.2">
      <c r="A12" t="s">
        <v>4</v>
      </c>
      <c r="B12" s="1">
        <v>11</v>
      </c>
      <c r="C12" s="2">
        <v>2048740000000</v>
      </c>
      <c r="D12" s="4">
        <v>1440.6023270000001</v>
      </c>
      <c r="E12" s="6">
        <f t="shared" si="0"/>
        <v>1.2700722168292664E-2</v>
      </c>
      <c r="H12" t="s">
        <v>7</v>
      </c>
      <c r="I12">
        <f t="shared" si="6"/>
        <v>2047430604173.9426</v>
      </c>
      <c r="J12" s="10">
        <f t="shared" si="7"/>
        <v>1.2053482353258886E-2</v>
      </c>
      <c r="K12" s="8" cm="1">
        <f t="array" ref="K12">_xlfn.LET(_xlpm.x, _xlfn._xlws.FILTER($C$2:$C$1000, ($A$2:$A$1000=$H12)*($C$2:$C$1000&gt;=0)), _xlfn.STDEV.S(_xlpm.x))</f>
        <v>8977985288.8468399</v>
      </c>
      <c r="L12" s="10">
        <f t="shared" si="8"/>
        <v>4.3850010205689497E-3</v>
      </c>
      <c r="M12" s="7">
        <f t="shared" si="5"/>
        <v>300</v>
      </c>
      <c r="N12" s="9"/>
      <c r="O12" s="1">
        <v>1000</v>
      </c>
      <c r="P12" s="1">
        <v>1005</v>
      </c>
      <c r="Q12" s="1" t="s">
        <v>20</v>
      </c>
      <c r="R12" s="1">
        <v>27.629745960235599</v>
      </c>
      <c r="S12" s="1">
        <v>0.77056396007537797</v>
      </c>
      <c r="T12" s="1">
        <v>10.5238199234009</v>
      </c>
      <c r="W12" t="s">
        <v>20</v>
      </c>
      <c r="X12">
        <v>5000</v>
      </c>
      <c r="Y12" s="7">
        <f t="shared" si="9"/>
        <v>0.93008120059967059</v>
      </c>
      <c r="Z12" s="7">
        <f t="shared" si="10"/>
        <v>5.6670504435896882</v>
      </c>
      <c r="AA12" s="7">
        <f t="shared" si="11"/>
        <v>86.200399446487395</v>
      </c>
      <c r="AD12" s="1">
        <v>1000</v>
      </c>
      <c r="AE12" s="1">
        <v>1005</v>
      </c>
      <c r="AF12" s="1" t="s">
        <v>20</v>
      </c>
      <c r="AG12" s="1">
        <v>26.461656093597401</v>
      </c>
      <c r="AH12" s="1">
        <v>0.809090256690979</v>
      </c>
      <c r="AI12" s="1">
        <v>9.4473391771316493</v>
      </c>
      <c r="AK12" t="s">
        <v>14</v>
      </c>
      <c r="AL12">
        <v>1</v>
      </c>
      <c r="AM12" s="6">
        <v>2096674959395.9912</v>
      </c>
      <c r="AN12" s="1">
        <v>0.95758104324340798</v>
      </c>
      <c r="AO12" s="6">
        <f t="shared" si="1"/>
        <v>3.6395172414506474E-2</v>
      </c>
    </row>
    <row r="13" spans="1:49" x14ac:dyDescent="0.2">
      <c r="A13" t="s">
        <v>4</v>
      </c>
      <c r="B13" s="1">
        <v>12</v>
      </c>
      <c r="C13" s="2">
        <v>2030910000000</v>
      </c>
      <c r="D13" s="4">
        <v>1243.9657279999999</v>
      </c>
      <c r="E13" s="6">
        <f t="shared" si="0"/>
        <v>3.8872788439759335E-3</v>
      </c>
      <c r="H13" t="s">
        <v>8</v>
      </c>
      <c r="I13">
        <f t="shared" si="6"/>
        <v>2034718514820.7883</v>
      </c>
      <c r="J13" s="10">
        <f t="shared" si="7"/>
        <v>5.7698435956776168E-3</v>
      </c>
      <c r="K13" s="8" cm="1">
        <f t="array" ref="K13">_xlfn.LET(_xlpm.x, _xlfn._xlws.FILTER($C$2:$C$1000, ($A$2:$A$1000=$H13)*($C$2:$C$1000&gt;=0)), _xlfn.STDEV.S(_xlpm.x))</f>
        <v>2236169507.4530134</v>
      </c>
      <c r="L13" s="10">
        <f t="shared" si="8"/>
        <v>1.0990068115883677E-3</v>
      </c>
      <c r="M13" s="7">
        <f t="shared" si="5"/>
        <v>300</v>
      </c>
      <c r="N13" s="9"/>
      <c r="O13" s="1">
        <v>1000</v>
      </c>
      <c r="P13" s="1">
        <v>1005</v>
      </c>
      <c r="Q13" s="1" t="s">
        <v>21</v>
      </c>
      <c r="R13" s="1">
        <v>3.5484075546264697E-2</v>
      </c>
      <c r="S13" s="1">
        <v>0.71573090553283703</v>
      </c>
      <c r="T13" s="1">
        <v>10.656426101923</v>
      </c>
      <c r="AD13" s="1">
        <v>1000</v>
      </c>
      <c r="AE13" s="1">
        <v>1005</v>
      </c>
      <c r="AF13" s="1" t="s">
        <v>21</v>
      </c>
      <c r="AG13" s="1">
        <v>1.37510299682617E-2</v>
      </c>
      <c r="AH13" s="1">
        <v>0.71573090553283703</v>
      </c>
      <c r="AI13" s="1">
        <v>10.656426101923</v>
      </c>
      <c r="AK13" t="s">
        <v>14</v>
      </c>
      <c r="AL13">
        <v>2</v>
      </c>
      <c r="AM13" s="6">
        <v>2077324012217.9082</v>
      </c>
      <c r="AN13" s="1">
        <v>0.94778013229370095</v>
      </c>
      <c r="AO13" s="6">
        <f t="shared" si="1"/>
        <v>2.6829918559998268E-2</v>
      </c>
    </row>
    <row r="14" spans="1:49" x14ac:dyDescent="0.2">
      <c r="A14" t="s">
        <v>4</v>
      </c>
      <c r="B14" s="1">
        <v>13</v>
      </c>
      <c r="C14" s="2">
        <v>2035200000000</v>
      </c>
      <c r="D14" s="4">
        <v>1508.393425</v>
      </c>
      <c r="E14" s="6">
        <f t="shared" si="0"/>
        <v>6.0078437268317256E-3</v>
      </c>
      <c r="G14" t="s">
        <v>39</v>
      </c>
      <c r="H14" t="s">
        <v>12</v>
      </c>
      <c r="I14">
        <f>AVERAGEIFS($C:$C, $A:$A, $H14, $C:$C, "&gt;=0")</f>
        <v>2133950537896.5642</v>
      </c>
      <c r="J14" s="10">
        <f>AVERAGEIFS($E:$E, $A:$A, $H14, $E:$E, "&gt;=0")</f>
        <v>5.482064625050885E-2</v>
      </c>
      <c r="K14" s="8" cm="1">
        <f t="array" ref="K14">_xlfn.LET(_xlpm.x, _xlfn._xlws.FILTER($C$2:$C$1000, ($A$2:$A$1000=$H14)*($C$2:$C$1000&gt;=0)), _xlfn.STDEV.S(_xlpm.x))</f>
        <v>62064303875.99765</v>
      </c>
      <c r="L14" s="10">
        <f t="shared" si="8"/>
        <v>2.9084227948963828E-2</v>
      </c>
      <c r="M14" s="7">
        <f>AVERAGEIFS($D:$D, $A:$A, $H14, $D:$D, "&gt;0")</f>
        <v>1.2044206725226505</v>
      </c>
      <c r="N14" s="9"/>
      <c r="O14" s="1">
        <v>1000</v>
      </c>
      <c r="P14" s="1">
        <v>1006</v>
      </c>
      <c r="Q14" s="1" t="s">
        <v>20</v>
      </c>
      <c r="R14" s="1">
        <v>27.7696468830109</v>
      </c>
      <c r="S14" s="1">
        <v>0.84099382162094105</v>
      </c>
      <c r="T14" s="1">
        <v>9.0508595108985901</v>
      </c>
      <c r="AD14" s="1">
        <v>1000</v>
      </c>
      <c r="AE14" s="1">
        <v>1006</v>
      </c>
      <c r="AF14" s="1" t="s">
        <v>20</v>
      </c>
      <c r="AG14" s="1">
        <v>26.930102825164798</v>
      </c>
      <c r="AH14" s="9">
        <v>0.32588875293731701</v>
      </c>
      <c r="AI14" s="1">
        <v>21.190971136093101</v>
      </c>
      <c r="AK14" t="s">
        <v>14</v>
      </c>
      <c r="AL14">
        <v>3</v>
      </c>
      <c r="AM14" s="6">
        <v>2090304865172.2422</v>
      </c>
      <c r="AN14" s="1">
        <v>0.94308519363403298</v>
      </c>
      <c r="AO14" s="6">
        <f t="shared" si="1"/>
        <v>3.3246408285983235E-2</v>
      </c>
    </row>
    <row r="15" spans="1:49" x14ac:dyDescent="0.2">
      <c r="A15" t="s">
        <v>4</v>
      </c>
      <c r="B15" s="1">
        <v>14</v>
      </c>
      <c r="C15" s="2">
        <v>2049720000000</v>
      </c>
      <c r="D15" s="4">
        <v>1137.14779</v>
      </c>
      <c r="E15" s="6">
        <f t="shared" si="0"/>
        <v>1.318514025342056E-2</v>
      </c>
      <c r="G15" t="s">
        <v>39</v>
      </c>
      <c r="H15" t="s">
        <v>14</v>
      </c>
      <c r="I15">
        <f>AVERAGEIFS($C:$C, $A:$A, $H15, $C:$C, "&gt;=0")</f>
        <v>2079043686845.041</v>
      </c>
      <c r="J15" s="10">
        <f>AVERAGEIFS($E:$E, $A:$A, $H15, $E:$E, "&gt;=0")</f>
        <v>2.9142174911707182E-2</v>
      </c>
      <c r="K15" s="8" cm="1">
        <f t="array" ref="K15">_xlfn.LET(_xlpm.x, _xlfn._xlws.FILTER($C$2:$C$1000, ($A$2:$A$1000=$H15)*($C$2:$C$1000&gt;=0)), _xlfn.STDEV.S(_xlpm.x))</f>
        <v>28614654524.985851</v>
      </c>
      <c r="L15" s="10">
        <f t="shared" si="8"/>
        <v>1.3763373375000469E-2</v>
      </c>
      <c r="M15" s="7">
        <f>AVERAGEIFS($D:$D, $A:$A, $H15, $D:$D, "&gt;0")</f>
        <v>1.2158724069595332</v>
      </c>
      <c r="N15" s="9"/>
      <c r="O15" s="1">
        <v>1000</v>
      </c>
      <c r="P15" s="1">
        <v>1006</v>
      </c>
      <c r="Q15" s="1" t="s">
        <v>21</v>
      </c>
      <c r="R15" s="1">
        <v>1.6737937927246101E-2</v>
      </c>
      <c r="S15" s="1">
        <v>0.73404550552368197</v>
      </c>
      <c r="T15" s="1">
        <v>11.519813537597701</v>
      </c>
      <c r="AD15" s="1">
        <v>1000</v>
      </c>
      <c r="AE15" s="1">
        <v>1006</v>
      </c>
      <c r="AF15" s="1" t="s">
        <v>21</v>
      </c>
      <c r="AG15" s="1">
        <v>1.6038894653320299E-2</v>
      </c>
      <c r="AH15" s="1">
        <v>0.73404550552368197</v>
      </c>
      <c r="AI15" s="1">
        <v>11.519813537597701</v>
      </c>
      <c r="AK15" t="s">
        <v>14</v>
      </c>
      <c r="AL15">
        <v>4</v>
      </c>
      <c r="AM15" s="6">
        <v>2105684166713.9028</v>
      </c>
      <c r="AN15" s="1">
        <v>0.94226408004760698</v>
      </c>
      <c r="AO15" s="6">
        <f t="shared" si="1"/>
        <v>4.0848461146611559E-2</v>
      </c>
    </row>
    <row r="16" spans="1:49" x14ac:dyDescent="0.2">
      <c r="A16" t="s">
        <v>4</v>
      </c>
      <c r="B16" s="1">
        <v>15</v>
      </c>
      <c r="C16" s="2">
        <v>2038060000000</v>
      </c>
      <c r="D16" s="4">
        <v>1335.4802440000001</v>
      </c>
      <c r="E16" s="6">
        <f t="shared" si="0"/>
        <v>7.421553648735587E-3</v>
      </c>
      <c r="G16" t="s">
        <v>39</v>
      </c>
      <c r="H16" t="s">
        <v>13</v>
      </c>
      <c r="I16">
        <f>AVERAGEIFS($C:$C, $A:$A, $H16, $C:$C, "&gt;=0")</f>
        <v>2062793165708.24</v>
      </c>
      <c r="J16" s="10">
        <f>AVERAGEIFS($E:$E, $A:$A, $H16, $E:$E, "&gt;=0")</f>
        <v>1.9647260558466703E-2</v>
      </c>
      <c r="K16" s="8" cm="1">
        <f t="array" ref="K16">_xlfn.LET(_xlpm.x, _xlfn._xlws.FILTER($C$2:$C$1000, ($A$2:$A$1000=$H16)*($C$2:$C$1000&gt;=0)), _xlfn.STDEV.S(_xlpm.x))</f>
        <v>22819070599.991634</v>
      </c>
      <c r="L16" s="10">
        <f t="shared" si="8"/>
        <v>1.1062219411686352E-2</v>
      </c>
      <c r="M16" s="7">
        <f>AVERAGEIFS($D:$D, $A:$A, $H16, $D:$D, "&gt;0")</f>
        <v>1.6778416633605977</v>
      </c>
      <c r="N16" s="9"/>
      <c r="O16" s="1">
        <v>1000</v>
      </c>
      <c r="P16" s="1">
        <v>1007</v>
      </c>
      <c r="Q16" s="1" t="s">
        <v>20</v>
      </c>
      <c r="R16" s="1">
        <v>27.444504737854</v>
      </c>
      <c r="S16" s="1">
        <v>0.87110584974288896</v>
      </c>
      <c r="T16" s="1">
        <v>7.8305833041667903</v>
      </c>
      <c r="AD16" s="1">
        <v>1000</v>
      </c>
      <c r="AE16" s="1">
        <v>1007</v>
      </c>
      <c r="AF16" s="1" t="s">
        <v>20</v>
      </c>
      <c r="AG16" s="1">
        <v>26.873368740081801</v>
      </c>
      <c r="AH16" s="1">
        <v>0.87159615755081199</v>
      </c>
      <c r="AI16" s="1">
        <v>7.58593678474426</v>
      </c>
      <c r="AK16" t="s">
        <v>14</v>
      </c>
      <c r="AL16">
        <v>5</v>
      </c>
      <c r="AM16" s="6">
        <v>2008255226617.7341</v>
      </c>
      <c r="AN16" s="1">
        <v>0.97381997108459495</v>
      </c>
      <c r="AO16" s="6">
        <f t="shared" si="1"/>
        <v>7.3110700752523046E-3</v>
      </c>
    </row>
    <row r="17" spans="1:49" x14ac:dyDescent="0.2">
      <c r="A17" t="s">
        <v>4</v>
      </c>
      <c r="B17" s="1">
        <v>16</v>
      </c>
      <c r="C17" s="2">
        <v>2034750000000</v>
      </c>
      <c r="D17" s="4">
        <v>1560.051796</v>
      </c>
      <c r="E17" s="6">
        <f t="shared" si="0"/>
        <v>5.7854068510076913E-3</v>
      </c>
      <c r="G17" t="s">
        <v>39</v>
      </c>
      <c r="H17" t="s">
        <v>15</v>
      </c>
      <c r="I17">
        <f>AVERAGEIFS($C:$C, $A:$A, $H17, $C:$C, "&gt;=0")</f>
        <v>2055534235414.4878</v>
      </c>
      <c r="J17" s="10">
        <f>AVERAGEIFS($E:$E, $A:$A, $H17, $E:$E, "&gt;=0")</f>
        <v>1.6059141055429736E-2</v>
      </c>
      <c r="K17" s="8" cm="1">
        <f t="array" ref="K17">_xlfn.LET(_xlpm.x, _xlfn._xlws.FILTER($C$2:$C$1000, ($A$2:$A$1000=$H17)*($C$2:$C$1000&gt;=0)), _xlfn.STDEV.S(_xlpm.x))</f>
        <v>14971954629.161776</v>
      </c>
      <c r="L17" s="10">
        <f t="shared" si="8"/>
        <v>7.2837291499271766E-3</v>
      </c>
      <c r="M17" s="7">
        <f>AVERAGEIFS($D:$D, $A:$A, $H17, $D:$D, "&gt;0")</f>
        <v>1.5155064529842799</v>
      </c>
      <c r="N17" s="9"/>
      <c r="O17" s="1">
        <v>1000</v>
      </c>
      <c r="P17" s="1">
        <v>1007</v>
      </c>
      <c r="Q17" s="1" t="s">
        <v>21</v>
      </c>
      <c r="R17" s="1">
        <v>1.51717662811279E-2</v>
      </c>
      <c r="S17" s="1">
        <v>0.78587245941162098</v>
      </c>
      <c r="T17" s="1">
        <v>10.378776490688301</v>
      </c>
      <c r="AD17" s="1">
        <v>1000</v>
      </c>
      <c r="AE17" s="1">
        <v>1007</v>
      </c>
      <c r="AF17" s="1" t="s">
        <v>21</v>
      </c>
      <c r="AG17" s="1">
        <v>1.8404006958007799E-2</v>
      </c>
      <c r="AH17" s="1">
        <v>0.78587245941162098</v>
      </c>
      <c r="AI17" s="1">
        <v>10.378776490688301</v>
      </c>
      <c r="AK17" t="s">
        <v>14</v>
      </c>
      <c r="AL17">
        <v>6</v>
      </c>
      <c r="AM17" s="6">
        <v>2068675055742.509</v>
      </c>
      <c r="AN17" s="1">
        <v>0.963634014129639</v>
      </c>
      <c r="AO17" s="6">
        <f t="shared" si="1"/>
        <v>2.2554703321051955E-2</v>
      </c>
    </row>
    <row r="18" spans="1:49" x14ac:dyDescent="0.2">
      <c r="A18" t="s">
        <v>4</v>
      </c>
      <c r="B18" s="1">
        <v>17</v>
      </c>
      <c r="C18" s="2">
        <v>2049700000000</v>
      </c>
      <c r="D18" s="4">
        <v>1633.6026549999999</v>
      </c>
      <c r="E18" s="6">
        <f t="shared" si="0"/>
        <v>1.3175254170050603E-2</v>
      </c>
      <c r="G18" t="s">
        <v>37</v>
      </c>
      <c r="H18" t="s">
        <v>12</v>
      </c>
      <c r="I18">
        <f>AVERAGEIFS($AM:$AM, $AK:$AK, $H18, $AM:$AM, "&gt;=0")</f>
        <v>2133856207289.615</v>
      </c>
      <c r="J18" s="10">
        <f>AVERAGEIFS($AO:$AO, $AK:$AK, $H18, $AO:$AO, "&gt;=0")</f>
        <v>5.4774018238276732E-2</v>
      </c>
      <c r="K18" s="8" cm="1">
        <f t="array" ref="K18">_xlfn.LET(_xlpm.x, _xlfn._xlws.FILTER($AM$2:$AM$1000, ($AK$2:$AK$1000=$H18)*($AM$2:$AM$1000&gt;=0)), _xlfn.STDEV.S(_xlpm.x))</f>
        <v>62113546014.913818</v>
      </c>
      <c r="L18" s="10">
        <f t="shared" si="8"/>
        <v>2.9108590261482194E-2</v>
      </c>
      <c r="M18" s="7">
        <f>AVERAGEIFS($AN:$AN, $AK:$AK, $H18, $AN:$AN, "&gt;=0")</f>
        <v>0.85728714201185441</v>
      </c>
      <c r="N18" s="9"/>
      <c r="O18" s="1">
        <v>1000</v>
      </c>
      <c r="P18" s="1">
        <v>1008</v>
      </c>
      <c r="Q18" s="1" t="s">
        <v>20</v>
      </c>
      <c r="R18" s="1">
        <v>9.5298328399658203</v>
      </c>
      <c r="S18" s="1">
        <v>0.82718575000762895</v>
      </c>
      <c r="T18" s="1">
        <v>8.0823995172977501</v>
      </c>
      <c r="AD18" s="1">
        <v>1000</v>
      </c>
      <c r="AE18" s="1">
        <v>1008</v>
      </c>
      <c r="AF18" s="1" t="s">
        <v>20</v>
      </c>
      <c r="AG18" s="1">
        <v>27.262072801590001</v>
      </c>
      <c r="AH18" s="9">
        <v>0.58139681816101096</v>
      </c>
      <c r="AI18" s="1">
        <v>10.2058917284012</v>
      </c>
      <c r="AK18" t="s">
        <v>14</v>
      </c>
      <c r="AL18">
        <v>7</v>
      </c>
      <c r="AM18" s="6">
        <v>2058298300098.9287</v>
      </c>
      <c r="AN18" s="1">
        <v>0.978926181793213</v>
      </c>
      <c r="AO18" s="6">
        <f t="shared" si="1"/>
        <v>1.7425429750946572E-2</v>
      </c>
    </row>
    <row r="19" spans="1:49" x14ac:dyDescent="0.2">
      <c r="A19" t="s">
        <v>4</v>
      </c>
      <c r="B19" s="1">
        <v>18</v>
      </c>
      <c r="C19" s="2">
        <v>2045780000000</v>
      </c>
      <c r="D19" s="4">
        <v>1468.4388309999999</v>
      </c>
      <c r="E19" s="6">
        <f t="shared" si="0"/>
        <v>1.1237581829539017E-2</v>
      </c>
      <c r="G19" t="s">
        <v>37</v>
      </c>
      <c r="H19" t="s">
        <v>14</v>
      </c>
      <c r="I19">
        <f t="shared" ref="I19:I21" si="12">AVERAGEIFS($AM:$AM, $AK:$AK, $H19, $AM:$AM, "&gt;=0")</f>
        <v>2076498318885.0312</v>
      </c>
      <c r="J19" s="10">
        <f t="shared" ref="J19:J21" si="13">AVERAGEIFS($AO:$AO, $AK:$AK, $H19, $AO:$AO, "&gt;=0")</f>
        <v>2.7883988918706526E-2</v>
      </c>
      <c r="K19" s="8" cm="1">
        <f t="array" ref="K19">_xlfn.LET(_xlpm.x, _xlfn._xlws.FILTER($AM$2:$AM$1000, ($AK$2:$AK$1000=$H19)*($AM$2:$AM$1000&gt;=0)), _xlfn.STDEV.S(_xlpm.x))</f>
        <v>29644121332.124153</v>
      </c>
      <c r="L19" s="10">
        <f t="shared" si="8"/>
        <v>1.4276015088729502E-2</v>
      </c>
      <c r="M19" s="7">
        <f t="shared" ref="M19:M21" si="14">AVERAGEIFS($AN:$AN, $AK:$AK, $H19, $AN:$AN, "&gt;=0")</f>
        <v>0.97049026489257817</v>
      </c>
      <c r="N19" s="9"/>
      <c r="O19" s="1">
        <v>1000</v>
      </c>
      <c r="P19" s="1">
        <v>1008</v>
      </c>
      <c r="Q19" s="1" t="s">
        <v>21</v>
      </c>
      <c r="R19" s="1">
        <v>1.5805244445800799E-2</v>
      </c>
      <c r="S19" s="1">
        <v>0.76936012506484996</v>
      </c>
      <c r="T19" s="1">
        <v>10.2931156754494</v>
      </c>
      <c r="AD19" s="1">
        <v>1000</v>
      </c>
      <c r="AE19" s="1">
        <v>1008</v>
      </c>
      <c r="AF19" s="1" t="s">
        <v>21</v>
      </c>
      <c r="AG19" s="1">
        <v>1.5488862991332999E-2</v>
      </c>
      <c r="AH19" s="1">
        <v>0.76936012506484996</v>
      </c>
      <c r="AI19" s="1">
        <v>10.2931156754494</v>
      </c>
      <c r="AK19" t="s">
        <v>14</v>
      </c>
      <c r="AL19">
        <v>8</v>
      </c>
      <c r="AM19" s="6">
        <v>2060388541535.2312</v>
      </c>
      <c r="AN19" s="1">
        <v>0.93950486183166504</v>
      </c>
      <c r="AO19" s="6">
        <f t="shared" si="1"/>
        <v>1.8458644806077833E-2</v>
      </c>
    </row>
    <row r="20" spans="1:49" x14ac:dyDescent="0.2">
      <c r="A20" t="s">
        <v>4</v>
      </c>
      <c r="B20" s="1">
        <v>19</v>
      </c>
      <c r="C20" s="2">
        <v>2043430000000</v>
      </c>
      <c r="D20" s="4">
        <v>1217.386328</v>
      </c>
      <c r="E20" s="6">
        <f t="shared" si="0"/>
        <v>1.0075967033569061E-2</v>
      </c>
      <c r="G20" t="s">
        <v>37</v>
      </c>
      <c r="H20" t="s">
        <v>13</v>
      </c>
      <c r="I20">
        <f t="shared" si="12"/>
        <v>2051093479642.5352</v>
      </c>
      <c r="J20" s="10">
        <f t="shared" si="13"/>
        <v>1.3864056966072676E-2</v>
      </c>
      <c r="K20" s="8" cm="1">
        <f t="array" ref="K20">_xlfn.LET(_xlpm.x, _xlfn._xlws.FILTER($AM$2:$AM$1000, ($AK$2:$AK$1000=$H20)*($AM$2:$AM$1000&gt;=0)), _xlfn.STDEV.S(_xlpm.x))</f>
        <v>24902916285.056847</v>
      </c>
      <c r="L20" s="10">
        <f t="shared" si="8"/>
        <v>1.2141287821458499E-2</v>
      </c>
      <c r="M20" s="7">
        <f t="shared" si="14"/>
        <v>1.1476325690746316</v>
      </c>
      <c r="N20" s="9"/>
      <c r="O20" s="1">
        <v>1000</v>
      </c>
      <c r="P20" s="1">
        <v>1009</v>
      </c>
      <c r="Q20" s="1" t="s">
        <v>20</v>
      </c>
      <c r="R20" s="1">
        <v>17.706801176071199</v>
      </c>
      <c r="S20" s="1">
        <v>0.86169958114624001</v>
      </c>
      <c r="T20" s="1">
        <v>7.47803971171379</v>
      </c>
      <c r="AD20" s="1">
        <v>1000</v>
      </c>
      <c r="AE20" s="1">
        <v>1009</v>
      </c>
      <c r="AF20" s="1" t="s">
        <v>20</v>
      </c>
      <c r="AG20" s="1">
        <v>23.564353227615399</v>
      </c>
      <c r="AH20" s="1">
        <v>0.86245489120483398</v>
      </c>
      <c r="AI20" s="1">
        <v>7.4527233839034999</v>
      </c>
      <c r="AK20" t="s">
        <v>14</v>
      </c>
      <c r="AL20">
        <v>9</v>
      </c>
      <c r="AM20" s="6">
        <v>2105773659463.9238</v>
      </c>
      <c r="AN20" s="1">
        <v>1.11451292037964</v>
      </c>
      <c r="AO20" s="6">
        <f t="shared" si="1"/>
        <v>4.0892697785997273E-2</v>
      </c>
    </row>
    <row r="21" spans="1:49" x14ac:dyDescent="0.2">
      <c r="A21" t="s">
        <v>4</v>
      </c>
      <c r="B21" s="1">
        <v>20</v>
      </c>
      <c r="C21" s="2">
        <v>2038840000000</v>
      </c>
      <c r="D21" s="4">
        <v>1327.5276530000001</v>
      </c>
      <c r="E21" s="6">
        <f t="shared" si="0"/>
        <v>7.8071109001639129E-3</v>
      </c>
      <c r="G21" t="s">
        <v>37</v>
      </c>
      <c r="H21" t="s">
        <v>15</v>
      </c>
      <c r="I21">
        <f t="shared" si="12"/>
        <v>2061213514872.0391</v>
      </c>
      <c r="J21" s="10">
        <f t="shared" si="13"/>
        <v>1.8970108853753168E-2</v>
      </c>
      <c r="K21" s="8" cm="1">
        <f t="array" ref="K21">_xlfn.LET(_xlpm.x, _xlfn._xlws.FILTER($AM$2:$AM$1000, ($AK$2:$AK$1000=$H21)*($AM$2:$AM$1000&gt;=0)), _xlfn.STDEV.S(_xlpm.x))</f>
        <v>21416545030.348839</v>
      </c>
      <c r="L21" s="10">
        <f t="shared" si="8"/>
        <v>1.0390260337332586E-2</v>
      </c>
      <c r="M21" s="7">
        <f t="shared" si="14"/>
        <v>1.0878444433212286</v>
      </c>
      <c r="N21" s="9"/>
      <c r="O21" s="1">
        <v>1000</v>
      </c>
      <c r="P21" s="1">
        <v>1009</v>
      </c>
      <c r="Q21" s="1" t="s">
        <v>21</v>
      </c>
      <c r="R21" s="1">
        <v>1.6180992126464799E-2</v>
      </c>
      <c r="S21" s="1">
        <v>0.52785408496856701</v>
      </c>
      <c r="T21" s="1">
        <v>12.4271109700203</v>
      </c>
      <c r="AD21" s="1">
        <v>1000</v>
      </c>
      <c r="AE21" s="1">
        <v>1009</v>
      </c>
      <c r="AF21" s="1" t="s">
        <v>21</v>
      </c>
      <c r="AG21" s="1">
        <v>1.43861770629883E-2</v>
      </c>
      <c r="AH21" s="9">
        <v>0.52785408496856701</v>
      </c>
      <c r="AI21" s="1">
        <v>12.4271109700203</v>
      </c>
      <c r="AK21" t="s">
        <v>14</v>
      </c>
      <c r="AL21">
        <v>10</v>
      </c>
      <c r="AM21" s="6">
        <v>2093604401891.9363</v>
      </c>
      <c r="AN21" s="1">
        <v>0.94379425048828103</v>
      </c>
      <c r="AO21" s="6">
        <f t="shared" si="1"/>
        <v>3.487738304063976E-2</v>
      </c>
    </row>
    <row r="22" spans="1:49" x14ac:dyDescent="0.2">
      <c r="A22" t="s">
        <v>5</v>
      </c>
      <c r="B22" s="1">
        <v>12</v>
      </c>
      <c r="C22" s="2">
        <v>2039490000000</v>
      </c>
      <c r="D22" s="4">
        <v>3522.387686</v>
      </c>
      <c r="E22" s="6">
        <f t="shared" si="0"/>
        <v>8.1284086096875176E-3</v>
      </c>
      <c r="N22" s="9"/>
      <c r="O22" s="1">
        <v>1000</v>
      </c>
      <c r="P22" s="1">
        <v>1010</v>
      </c>
      <c r="Q22" s="1" t="s">
        <v>20</v>
      </c>
      <c r="R22" s="1">
        <v>28.635491847991901</v>
      </c>
      <c r="S22" s="1">
        <v>0.82794117927551303</v>
      </c>
      <c r="T22" s="1">
        <v>8.6294956505298597</v>
      </c>
      <c r="AD22" s="1">
        <v>1000</v>
      </c>
      <c r="AE22" s="1">
        <v>1010</v>
      </c>
      <c r="AF22" s="1" t="s">
        <v>20</v>
      </c>
      <c r="AG22" s="1">
        <v>27.461619853973399</v>
      </c>
      <c r="AH22" s="1">
        <v>0.84756487607955899</v>
      </c>
      <c r="AI22" s="1">
        <v>7.6484158635139501</v>
      </c>
      <c r="AK22" t="s">
        <v>13</v>
      </c>
      <c r="AL22">
        <v>1</v>
      </c>
      <c r="AM22">
        <v>2029113639836.02</v>
      </c>
      <c r="AN22" s="1">
        <v>1.6339190006256099</v>
      </c>
      <c r="AO22" s="6">
        <f t="shared" si="1"/>
        <v>2.9993305267971412E-3</v>
      </c>
    </row>
    <row r="23" spans="1:49" x14ac:dyDescent="0.2">
      <c r="A23" t="s">
        <v>5</v>
      </c>
      <c r="B23" s="1">
        <v>13</v>
      </c>
      <c r="C23" s="2">
        <v>2029460000000</v>
      </c>
      <c r="D23" s="4">
        <v>2619.6575750000002</v>
      </c>
      <c r="E23" s="6">
        <f t="shared" si="0"/>
        <v>3.1705377996540459E-3</v>
      </c>
      <c r="N23" s="9"/>
      <c r="O23" s="1">
        <v>1000</v>
      </c>
      <c r="P23" s="1">
        <v>1010</v>
      </c>
      <c r="Q23" s="1" t="s">
        <v>21</v>
      </c>
      <c r="R23" s="1">
        <v>3.5655975341796903E-2</v>
      </c>
      <c r="S23" s="1">
        <v>0.72815299034118697</v>
      </c>
      <c r="T23" s="1">
        <v>11.6005204617977</v>
      </c>
      <c r="AD23" s="1">
        <v>1000</v>
      </c>
      <c r="AE23" s="1">
        <v>1010</v>
      </c>
      <c r="AF23" s="1" t="s">
        <v>21</v>
      </c>
      <c r="AG23" s="1">
        <v>1.47876739501953E-2</v>
      </c>
      <c r="AH23" s="1">
        <v>0.72815299034118697</v>
      </c>
      <c r="AI23" s="1">
        <v>11.6005204617977</v>
      </c>
      <c r="AK23" t="s">
        <v>13</v>
      </c>
      <c r="AL23">
        <v>2</v>
      </c>
      <c r="AM23">
        <v>2068933078387.0361</v>
      </c>
      <c r="AN23" s="1">
        <v>1.0486969947814899</v>
      </c>
      <c r="AO23" s="6">
        <f t="shared" si="1"/>
        <v>2.2682244989808538E-2</v>
      </c>
    </row>
    <row r="24" spans="1:49" x14ac:dyDescent="0.2">
      <c r="A24" t="s">
        <v>5</v>
      </c>
      <c r="B24" s="1">
        <v>14</v>
      </c>
      <c r="C24" s="2">
        <v>2032200000000</v>
      </c>
      <c r="D24" s="4">
        <v>3176.9322499999998</v>
      </c>
      <c r="E24" s="6">
        <f t="shared" si="0"/>
        <v>4.5249312213381642E-3</v>
      </c>
      <c r="N24" s="9"/>
      <c r="O24" s="1">
        <v>5000</v>
      </c>
      <c r="P24" s="1">
        <v>1001</v>
      </c>
      <c r="Q24" s="1" t="s">
        <v>20</v>
      </c>
      <c r="R24" s="1">
        <v>52.758673906326301</v>
      </c>
      <c r="S24" s="1">
        <v>0.93893605470657404</v>
      </c>
      <c r="T24" s="1">
        <v>5.7303503155708304</v>
      </c>
      <c r="AD24" s="1">
        <v>5000</v>
      </c>
      <c r="AE24" s="1">
        <v>1001</v>
      </c>
      <c r="AF24" s="1" t="s">
        <v>20</v>
      </c>
      <c r="AG24" s="1">
        <v>60.609461069107098</v>
      </c>
      <c r="AH24" s="1">
        <v>0.93574512004852295</v>
      </c>
      <c r="AI24" s="1">
        <v>5.85660748183727</v>
      </c>
      <c r="AK24" t="s">
        <v>13</v>
      </c>
      <c r="AL24">
        <v>3</v>
      </c>
      <c r="AM24">
        <v>2034234584897.1826</v>
      </c>
      <c r="AN24" s="1">
        <v>1.0745780467987101</v>
      </c>
      <c r="AO24" s="6">
        <f t="shared" si="1"/>
        <v>5.530635017178309E-3</v>
      </c>
    </row>
    <row r="25" spans="1:49" x14ac:dyDescent="0.2">
      <c r="A25" t="s">
        <v>5</v>
      </c>
      <c r="B25" s="1">
        <v>15</v>
      </c>
      <c r="C25" s="2">
        <v>2033160000000</v>
      </c>
      <c r="D25" s="4">
        <v>2585.3251439999999</v>
      </c>
      <c r="E25" s="6">
        <f t="shared" si="0"/>
        <v>4.9994632230961041E-3</v>
      </c>
      <c r="N25" s="9"/>
      <c r="O25" s="1">
        <v>5000</v>
      </c>
      <c r="P25" s="1">
        <v>1001</v>
      </c>
      <c r="Q25" s="1" t="s">
        <v>21</v>
      </c>
      <c r="R25" s="1">
        <v>6.1730623245239299E-2</v>
      </c>
      <c r="S25" s="1">
        <v>0.90547800064086903</v>
      </c>
      <c r="T25" s="1">
        <v>7.0106036961078599</v>
      </c>
      <c r="AD25" s="1">
        <v>5000</v>
      </c>
      <c r="AE25" s="1">
        <v>1001</v>
      </c>
      <c r="AF25" s="1" t="s">
        <v>21</v>
      </c>
      <c r="AG25" s="1">
        <v>0.10471296310424801</v>
      </c>
      <c r="AH25" s="1">
        <v>0.90547800064086903</v>
      </c>
      <c r="AI25" s="1">
        <v>7.0106036961078599</v>
      </c>
      <c r="AK25" t="s">
        <v>13</v>
      </c>
      <c r="AL25">
        <v>4</v>
      </c>
      <c r="AM25">
        <v>2039135116992.3647</v>
      </c>
      <c r="AN25" s="1">
        <v>1.0443148612976101</v>
      </c>
      <c r="AO25" s="6">
        <f t="shared" si="1"/>
        <v>7.9529884596843559E-3</v>
      </c>
    </row>
    <row r="26" spans="1:49" x14ac:dyDescent="0.2">
      <c r="A26" t="s">
        <v>5</v>
      </c>
      <c r="B26" s="1">
        <v>19</v>
      </c>
      <c r="C26" s="2">
        <v>2033930000000</v>
      </c>
      <c r="D26" s="4">
        <v>3596.972718</v>
      </c>
      <c r="E26" s="6">
        <f t="shared" si="0"/>
        <v>5.3800774328394514E-3</v>
      </c>
      <c r="N26" s="9"/>
      <c r="O26" s="1">
        <v>5000</v>
      </c>
      <c r="P26" s="1">
        <v>1002</v>
      </c>
      <c r="Q26" s="1" t="s">
        <v>20</v>
      </c>
      <c r="R26" s="1">
        <v>107.82462596893301</v>
      </c>
      <c r="S26" s="1">
        <v>0.93221515417098999</v>
      </c>
      <c r="T26" s="1">
        <v>5.7738143950700804</v>
      </c>
      <c r="AD26" s="1">
        <v>5000</v>
      </c>
      <c r="AE26" s="1">
        <v>1002</v>
      </c>
      <c r="AF26" s="1" t="s">
        <v>20</v>
      </c>
      <c r="AG26" s="1">
        <v>88.773545980453505</v>
      </c>
      <c r="AH26" s="1">
        <v>0.92962682247161899</v>
      </c>
      <c r="AI26" s="1">
        <v>5.8508101850748098</v>
      </c>
      <c r="AK26" t="s">
        <v>13</v>
      </c>
      <c r="AL26">
        <v>5</v>
      </c>
      <c r="AM26">
        <v>2084809902088.4407</v>
      </c>
      <c r="AN26" s="1">
        <v>0.989368677139282</v>
      </c>
      <c r="AO26" s="6">
        <f t="shared" si="1"/>
        <v>3.0530225127918326E-2</v>
      </c>
    </row>
    <row r="27" spans="1:49" x14ac:dyDescent="0.2">
      <c r="A27" t="s">
        <v>6</v>
      </c>
      <c r="B27" s="1">
        <v>11</v>
      </c>
      <c r="C27">
        <v>2075972509891.377</v>
      </c>
      <c r="D27" s="5">
        <v>300</v>
      </c>
      <c r="E27" s="6">
        <f>ABS(C27-$J$2)/$J$2</f>
        <v>2.6161865326259325E-2</v>
      </c>
      <c r="H27" s="2"/>
      <c r="N27" s="9"/>
      <c r="O27" s="1">
        <v>5000</v>
      </c>
      <c r="P27" s="1">
        <v>1002</v>
      </c>
      <c r="Q27" s="1" t="s">
        <v>21</v>
      </c>
      <c r="R27" s="1">
        <v>6.2768220901489299E-2</v>
      </c>
      <c r="S27" s="1">
        <v>0.89668667316436801</v>
      </c>
      <c r="T27" s="1">
        <v>6.69615566730499</v>
      </c>
      <c r="AD27" s="1">
        <v>5000</v>
      </c>
      <c r="AE27" s="1">
        <v>1002</v>
      </c>
      <c r="AF27" s="1" t="s">
        <v>21</v>
      </c>
      <c r="AG27" s="1">
        <v>6.1593770980835003E-2</v>
      </c>
      <c r="AH27" s="1">
        <v>0.89668667316436801</v>
      </c>
      <c r="AI27" s="1">
        <v>6.69615566730499</v>
      </c>
      <c r="AQ27" t="s">
        <v>29</v>
      </c>
      <c r="AS27" t="s">
        <v>13</v>
      </c>
      <c r="AT27">
        <v>6</v>
      </c>
      <c r="AU27">
        <v>2069425180671.6252</v>
      </c>
      <c r="AV27" s="1">
        <v>0.94351911544799805</v>
      </c>
      <c r="AW27" s="6">
        <f>ABS(AU27-$J$2)/$J$2</f>
        <v>2.2925493200408254E-2</v>
      </c>
    </row>
    <row r="28" spans="1:49" x14ac:dyDescent="0.2">
      <c r="A28" t="s">
        <v>6</v>
      </c>
      <c r="B28" s="1">
        <v>12</v>
      </c>
      <c r="C28">
        <v>2048276384276.1895</v>
      </c>
      <c r="D28" s="5">
        <v>300</v>
      </c>
      <c r="E28" s="6">
        <f t="shared" ref="E28:E57" si="15">ABS(C28-$J$2)/$J$2</f>
        <v>1.247155498343196E-2</v>
      </c>
      <c r="H28" s="2"/>
      <c r="N28" s="9"/>
      <c r="O28" s="1">
        <v>5000</v>
      </c>
      <c r="P28" s="1">
        <v>1003</v>
      </c>
      <c r="Q28" s="1" t="s">
        <v>20</v>
      </c>
      <c r="R28" s="1">
        <v>85.003600120544405</v>
      </c>
      <c r="S28" s="1">
        <v>0.93403005599975597</v>
      </c>
      <c r="T28" s="1">
        <v>5.3515769541263598</v>
      </c>
      <c r="AD28" s="1">
        <v>5000</v>
      </c>
      <c r="AE28" s="1">
        <v>1003</v>
      </c>
      <c r="AF28" s="1" t="s">
        <v>20</v>
      </c>
      <c r="AG28" s="1">
        <v>114.792725086212</v>
      </c>
      <c r="AH28" s="1">
        <v>0.93337327241897605</v>
      </c>
      <c r="AI28" s="1">
        <v>5.4075010120868701</v>
      </c>
      <c r="AK28" t="s">
        <v>13</v>
      </c>
      <c r="AL28">
        <v>7</v>
      </c>
      <c r="AM28">
        <v>2031907847242.7451</v>
      </c>
      <c r="AN28" s="1">
        <v>0.97364306449890103</v>
      </c>
      <c r="AO28" s="6">
        <f t="shared" si="1"/>
        <v>4.3805188955889345E-3</v>
      </c>
    </row>
    <row r="29" spans="1:49" x14ac:dyDescent="0.2">
      <c r="A29" t="s">
        <v>6</v>
      </c>
      <c r="B29" s="1">
        <v>13</v>
      </c>
      <c r="C29">
        <v>2056083052031.135</v>
      </c>
      <c r="D29" s="5">
        <v>300</v>
      </c>
      <c r="E29" s="6">
        <f t="shared" si="15"/>
        <v>1.6330423396779332E-2</v>
      </c>
      <c r="H29" s="2"/>
      <c r="N29" s="9"/>
      <c r="O29" s="1">
        <v>5000</v>
      </c>
      <c r="P29" s="1">
        <v>1003</v>
      </c>
      <c r="Q29" s="1" t="s">
        <v>21</v>
      </c>
      <c r="R29" s="1">
        <v>8.8617324829101604E-2</v>
      </c>
      <c r="S29" s="1">
        <v>0.90061366558074996</v>
      </c>
      <c r="T29" s="1">
        <v>6.5767973661422703</v>
      </c>
      <c r="AD29" s="1">
        <v>5000</v>
      </c>
      <c r="AE29" s="1">
        <v>1003</v>
      </c>
      <c r="AF29" s="1" t="s">
        <v>21</v>
      </c>
      <c r="AG29" s="1">
        <v>6.6219091415405301E-2</v>
      </c>
      <c r="AH29" s="1">
        <v>0.90061366558074996</v>
      </c>
      <c r="AI29" s="1">
        <v>6.5767973661422703</v>
      </c>
      <c r="AQ29" t="s">
        <v>29</v>
      </c>
      <c r="AS29" t="s">
        <v>13</v>
      </c>
      <c r="AT29">
        <v>8</v>
      </c>
      <c r="AU29">
        <v>2060034681760.374</v>
      </c>
      <c r="AV29" s="1">
        <v>1.67566394805908</v>
      </c>
      <c r="AW29" s="6">
        <f>ABS(AU29-$J$2)/$J$2</f>
        <v>1.8283730444302218E-2</v>
      </c>
    </row>
    <row r="30" spans="1:49" x14ac:dyDescent="0.2">
      <c r="A30" t="s">
        <v>6</v>
      </c>
      <c r="B30" s="1">
        <v>14</v>
      </c>
      <c r="C30">
        <v>2106213902918.4138</v>
      </c>
      <c r="D30" s="5">
        <v>300</v>
      </c>
      <c r="E30" s="6">
        <f t="shared" si="15"/>
        <v>4.1110311960705567E-2</v>
      </c>
      <c r="H30" s="2"/>
      <c r="N30" s="9"/>
      <c r="O30" s="1">
        <v>5000</v>
      </c>
      <c r="P30" s="1">
        <v>1004</v>
      </c>
      <c r="Q30" s="1" t="s">
        <v>20</v>
      </c>
      <c r="R30" s="1">
        <v>100.669287919998</v>
      </c>
      <c r="S30" s="1">
        <v>0.935011327266693</v>
      </c>
      <c r="T30" s="1">
        <v>5.8471582829952196</v>
      </c>
      <c r="AD30" s="1">
        <v>5000</v>
      </c>
      <c r="AE30" s="1">
        <v>1004</v>
      </c>
      <c r="AF30" s="1" t="s">
        <v>20</v>
      </c>
      <c r="AG30" s="1">
        <v>62.192909955978401</v>
      </c>
      <c r="AH30" s="1">
        <v>0.93405741453170799</v>
      </c>
      <c r="AI30" s="1">
        <v>5.8398861438036</v>
      </c>
      <c r="AK30" t="s">
        <v>13</v>
      </c>
      <c r="AL30">
        <v>9</v>
      </c>
      <c r="AM30">
        <v>2033494151761.772</v>
      </c>
      <c r="AN30" s="1">
        <v>1.19640612602234</v>
      </c>
      <c r="AO30" s="6">
        <f t="shared" si="1"/>
        <v>5.1646358318508919E-3</v>
      </c>
    </row>
    <row r="31" spans="1:49" x14ac:dyDescent="0.2">
      <c r="A31" t="s">
        <v>6</v>
      </c>
      <c r="B31" s="1">
        <v>15</v>
      </c>
      <c r="C31">
        <v>2041154954704.7332</v>
      </c>
      <c r="D31" s="5">
        <v>300</v>
      </c>
      <c r="E31" s="6">
        <f t="shared" si="15"/>
        <v>8.9514026605972286E-3</v>
      </c>
      <c r="H31" s="2"/>
      <c r="N31" s="9"/>
      <c r="O31" s="1">
        <v>5000</v>
      </c>
      <c r="P31" s="1">
        <v>1004</v>
      </c>
      <c r="Q31" s="1" t="s">
        <v>21</v>
      </c>
      <c r="R31" s="1">
        <v>0.111782073974609</v>
      </c>
      <c r="S31" s="1">
        <v>0.90759998559951804</v>
      </c>
      <c r="T31" s="1">
        <v>6.8888939917087599</v>
      </c>
      <c r="AD31" s="1">
        <v>5000</v>
      </c>
      <c r="AE31" s="1">
        <v>1004</v>
      </c>
      <c r="AF31" s="1" t="s">
        <v>21</v>
      </c>
      <c r="AG31" s="1">
        <v>4.6103954315185602E-2</v>
      </c>
      <c r="AH31" s="1">
        <v>0.90759998559951804</v>
      </c>
      <c r="AI31" s="1">
        <v>6.8888939917087599</v>
      </c>
      <c r="AK31" t="s">
        <v>13</v>
      </c>
      <c r="AL31">
        <v>10</v>
      </c>
      <c r="AM31">
        <v>2087119515934.7207</v>
      </c>
      <c r="AN31" s="1">
        <v>1.2201337814331099</v>
      </c>
      <c r="AO31" s="6">
        <f t="shared" si="1"/>
        <v>3.1671876879754902E-2</v>
      </c>
    </row>
    <row r="32" spans="1:49" x14ac:dyDescent="0.2">
      <c r="A32" t="s">
        <v>6</v>
      </c>
      <c r="B32" s="1">
        <v>16</v>
      </c>
      <c r="C32">
        <v>2047365096404.2979</v>
      </c>
      <c r="D32" s="5">
        <v>300</v>
      </c>
      <c r="E32" s="6">
        <f t="shared" si="15"/>
        <v>1.2021101589654404E-2</v>
      </c>
      <c r="H32" s="2"/>
      <c r="N32" s="9"/>
      <c r="O32" s="1">
        <v>5000</v>
      </c>
      <c r="P32" s="1">
        <v>1005</v>
      </c>
      <c r="Q32" s="1" t="s">
        <v>20</v>
      </c>
      <c r="R32" s="1">
        <v>117.359520673752</v>
      </c>
      <c r="S32" s="1">
        <v>0.92612761259079002</v>
      </c>
      <c r="T32" s="1">
        <v>5.5505841970443699</v>
      </c>
      <c r="AD32" s="1">
        <v>5000</v>
      </c>
      <c r="AE32" s="1">
        <v>1005</v>
      </c>
      <c r="AF32" s="1" t="s">
        <v>20</v>
      </c>
      <c r="AG32" s="1">
        <v>79.372855901718097</v>
      </c>
      <c r="AH32" s="1">
        <v>0.92832601070404097</v>
      </c>
      <c r="AI32" s="1">
        <v>5.4997239261865598</v>
      </c>
      <c r="AK32" t="s">
        <v>15</v>
      </c>
      <c r="AL32">
        <v>1</v>
      </c>
      <c r="AM32">
        <v>2061164188916.3909</v>
      </c>
      <c r="AN32" s="1">
        <v>0.98457169532775901</v>
      </c>
      <c r="AO32" s="6">
        <f t="shared" si="1"/>
        <v>1.8842050539869502E-2</v>
      </c>
    </row>
    <row r="33" spans="1:41" x14ac:dyDescent="0.2">
      <c r="A33" t="s">
        <v>6</v>
      </c>
      <c r="B33" s="1">
        <v>17</v>
      </c>
      <c r="C33">
        <v>2076741494593.4712</v>
      </c>
      <c r="D33" s="5">
        <v>300</v>
      </c>
      <c r="E33" s="6">
        <f t="shared" si="15"/>
        <v>2.6541977670015586E-2</v>
      </c>
      <c r="H33" s="2"/>
      <c r="N33" s="9"/>
      <c r="O33" s="1">
        <v>5000</v>
      </c>
      <c r="P33" s="1">
        <v>1005</v>
      </c>
      <c r="Q33" s="1" t="s">
        <v>21</v>
      </c>
      <c r="R33" s="1">
        <v>7.1603059768676799E-2</v>
      </c>
      <c r="S33" s="1">
        <v>0.89579015970230103</v>
      </c>
      <c r="T33" s="1">
        <v>6.6479183733463296</v>
      </c>
      <c r="AD33" s="1">
        <v>5000</v>
      </c>
      <c r="AE33" s="1">
        <v>1005</v>
      </c>
      <c r="AF33" s="1" t="s">
        <v>21</v>
      </c>
      <c r="AG33" s="1">
        <v>3.7646055221557603E-2</v>
      </c>
      <c r="AH33" s="1">
        <v>0.89579015970230103</v>
      </c>
      <c r="AI33" s="1">
        <v>6.6479183733463296</v>
      </c>
      <c r="AK33" t="s">
        <v>15</v>
      </c>
      <c r="AL33">
        <v>2</v>
      </c>
      <c r="AM33">
        <v>2088864130218.3306</v>
      </c>
      <c r="AN33" s="1">
        <v>1.0765750408172601</v>
      </c>
      <c r="AO33" s="6">
        <f t="shared" si="1"/>
        <v>3.2534246992564159E-2</v>
      </c>
    </row>
    <row r="34" spans="1:41" x14ac:dyDescent="0.2">
      <c r="A34" t="s">
        <v>6</v>
      </c>
      <c r="B34" s="1">
        <v>18</v>
      </c>
      <c r="C34">
        <v>2046639490847.2827</v>
      </c>
      <c r="D34" s="5">
        <v>300</v>
      </c>
      <c r="E34" s="6">
        <f t="shared" si="15"/>
        <v>1.1662431738136615E-2</v>
      </c>
      <c r="H34" s="2"/>
      <c r="N34" s="9"/>
      <c r="O34" s="1">
        <v>5000</v>
      </c>
      <c r="P34" s="1">
        <v>1006</v>
      </c>
      <c r="Q34" s="1" t="s">
        <v>20</v>
      </c>
      <c r="R34" s="1">
        <v>85.067280769348102</v>
      </c>
      <c r="S34" s="1">
        <v>0.92690074443817105</v>
      </c>
      <c r="T34" s="1">
        <v>5.6883189827203804</v>
      </c>
      <c r="AD34" s="1">
        <v>5000</v>
      </c>
      <c r="AE34" s="1">
        <v>1006</v>
      </c>
      <c r="AF34" s="1" t="s">
        <v>20</v>
      </c>
      <c r="AG34" s="1">
        <v>77.749398946762099</v>
      </c>
      <c r="AH34" s="1">
        <v>0.93717491626739502</v>
      </c>
      <c r="AI34" s="1">
        <v>5.2779566496610597</v>
      </c>
      <c r="AK34" t="s">
        <v>15</v>
      </c>
      <c r="AL34">
        <v>3</v>
      </c>
      <c r="AM34">
        <v>2054240421045.5132</v>
      </c>
      <c r="AN34" s="1">
        <v>1.0925829410553001</v>
      </c>
      <c r="AO34" s="6">
        <f t="shared" si="1"/>
        <v>1.5419603219583152E-2</v>
      </c>
    </row>
    <row r="35" spans="1:41" x14ac:dyDescent="0.2">
      <c r="A35" t="s">
        <v>6</v>
      </c>
      <c r="B35" s="1">
        <v>19</v>
      </c>
      <c r="C35">
        <v>2062293568851.5071</v>
      </c>
      <c r="D35" s="5">
        <v>300</v>
      </c>
      <c r="E35" s="6">
        <f t="shared" si="15"/>
        <v>1.9400307749615282E-2</v>
      </c>
      <c r="H35" s="2"/>
      <c r="N35" s="9"/>
      <c r="O35" s="1">
        <v>5000</v>
      </c>
      <c r="P35" s="1">
        <v>1006</v>
      </c>
      <c r="Q35" s="1" t="s">
        <v>21</v>
      </c>
      <c r="R35" s="1">
        <v>7.3292970657348605E-2</v>
      </c>
      <c r="S35" s="1">
        <v>0.90062105655670199</v>
      </c>
      <c r="T35" s="1">
        <v>6.6249012947082502</v>
      </c>
      <c r="AD35" s="1">
        <v>5000</v>
      </c>
      <c r="AE35" s="1">
        <v>1006</v>
      </c>
      <c r="AF35" s="1" t="s">
        <v>21</v>
      </c>
      <c r="AG35" s="1">
        <v>4.43921089172363E-2</v>
      </c>
      <c r="AH35" s="1">
        <v>0.90062105655670199</v>
      </c>
      <c r="AI35" s="1">
        <v>6.6249012947082502</v>
      </c>
      <c r="AK35" t="s">
        <v>15</v>
      </c>
      <c r="AL35">
        <v>4</v>
      </c>
      <c r="AM35">
        <v>2069918514071.0908</v>
      </c>
      <c r="AN35" s="1">
        <v>1.1147327423095701</v>
      </c>
      <c r="AO35" s="6">
        <f t="shared" si="1"/>
        <v>2.3169349956223304E-2</v>
      </c>
    </row>
    <row r="36" spans="1:41" x14ac:dyDescent="0.2">
      <c r="A36" t="s">
        <v>6</v>
      </c>
      <c r="B36" s="1">
        <v>20</v>
      </c>
      <c r="C36">
        <v>2049371561017.3975</v>
      </c>
      <c r="D36" s="5">
        <v>300</v>
      </c>
      <c r="E36" s="6">
        <f t="shared" si="15"/>
        <v>1.3012905411852974E-2</v>
      </c>
      <c r="H36" s="2"/>
      <c r="N36" s="9"/>
      <c r="O36" s="1">
        <v>5000</v>
      </c>
      <c r="P36" s="1">
        <v>1007</v>
      </c>
      <c r="Q36" s="1" t="s">
        <v>20</v>
      </c>
      <c r="R36" s="1">
        <v>169.13262891769401</v>
      </c>
      <c r="S36" s="1">
        <v>0.77705305814742998</v>
      </c>
      <c r="T36" s="1">
        <v>8.3385005593299901</v>
      </c>
      <c r="AD36" s="1">
        <v>5000</v>
      </c>
      <c r="AE36" s="1">
        <v>1007</v>
      </c>
      <c r="AF36" s="1" t="s">
        <v>20</v>
      </c>
      <c r="AG36" s="1">
        <v>93.807003974914593</v>
      </c>
      <c r="AH36" s="1">
        <v>0.89571797847747803</v>
      </c>
      <c r="AI36" s="1">
        <v>5.7495072484016401</v>
      </c>
      <c r="AK36" t="s">
        <v>15</v>
      </c>
      <c r="AL36">
        <v>5</v>
      </c>
      <c r="AM36">
        <v>2078456785386.3396</v>
      </c>
      <c r="AN36" s="1">
        <v>1.08918404579163</v>
      </c>
      <c r="AO36" s="6">
        <f t="shared" si="1"/>
        <v>2.7389853059116429E-2</v>
      </c>
    </row>
    <row r="37" spans="1:41" x14ac:dyDescent="0.2">
      <c r="A37" t="s">
        <v>7</v>
      </c>
      <c r="B37" s="1">
        <v>11</v>
      </c>
      <c r="C37">
        <v>2053876813612.719</v>
      </c>
      <c r="D37" s="5">
        <v>300</v>
      </c>
      <c r="E37" s="6">
        <f t="shared" si="15"/>
        <v>1.5239870549856182E-2</v>
      </c>
      <c r="H37" s="2"/>
      <c r="N37" s="9"/>
      <c r="O37" s="1">
        <v>5000</v>
      </c>
      <c r="P37" s="1">
        <v>1007</v>
      </c>
      <c r="Q37" s="1" t="s">
        <v>21</v>
      </c>
      <c r="R37" s="1">
        <v>0.121508121490479</v>
      </c>
      <c r="S37" s="1">
        <v>0.87383663654327404</v>
      </c>
      <c r="T37" s="1">
        <v>6.5730728209018698</v>
      </c>
      <c r="AD37" s="1">
        <v>5000</v>
      </c>
      <c r="AE37" s="1">
        <v>1007</v>
      </c>
      <c r="AF37" s="1" t="s">
        <v>21</v>
      </c>
      <c r="AG37" s="1">
        <v>4.7225236892700202E-2</v>
      </c>
      <c r="AH37" s="1">
        <v>0.87383663654327404</v>
      </c>
      <c r="AI37" s="1">
        <v>6.5730728209018698</v>
      </c>
      <c r="AK37" t="s">
        <v>15</v>
      </c>
      <c r="AL37">
        <v>6</v>
      </c>
      <c r="AM37">
        <v>2078436805220.751</v>
      </c>
      <c r="AN37" s="1">
        <v>1.12853503227234</v>
      </c>
      <c r="AO37" s="6">
        <f t="shared" si="1"/>
        <v>2.7379976779978693E-2</v>
      </c>
    </row>
    <row r="38" spans="1:41" x14ac:dyDescent="0.2">
      <c r="A38" t="s">
        <v>7</v>
      </c>
      <c r="B38" s="1">
        <v>12</v>
      </c>
      <c r="C38">
        <v>2041024038287.4248</v>
      </c>
      <c r="D38" s="5">
        <v>300</v>
      </c>
      <c r="E38" s="6">
        <f t="shared" si="15"/>
        <v>8.8866901297969068E-3</v>
      </c>
      <c r="H38" s="2"/>
      <c r="N38" s="9"/>
      <c r="O38" s="1">
        <v>5000</v>
      </c>
      <c r="P38" s="1">
        <v>1008</v>
      </c>
      <c r="Q38" s="1" t="s">
        <v>20</v>
      </c>
      <c r="R38" s="1">
        <v>111.841689825058</v>
      </c>
      <c r="S38" s="1">
        <v>0.93503028154373202</v>
      </c>
      <c r="T38" s="1">
        <v>5.7407606393098796</v>
      </c>
      <c r="AD38" s="1">
        <v>5000</v>
      </c>
      <c r="AE38" s="1">
        <v>1008</v>
      </c>
      <c r="AF38" s="1" t="s">
        <v>20</v>
      </c>
      <c r="AG38" s="1">
        <v>82.410189151763902</v>
      </c>
      <c r="AH38" s="1">
        <v>0.937236428260803</v>
      </c>
      <c r="AI38" s="1">
        <v>5.6030459702014896</v>
      </c>
      <c r="AK38" t="s">
        <v>15</v>
      </c>
      <c r="AL38">
        <v>7</v>
      </c>
      <c r="AM38">
        <v>2032890871999.8135</v>
      </c>
      <c r="AN38" s="1">
        <v>1.16131496429443</v>
      </c>
      <c r="AO38" s="6">
        <f t="shared" si="1"/>
        <v>4.8664321307444148E-3</v>
      </c>
    </row>
    <row r="39" spans="1:41" x14ac:dyDescent="0.2">
      <c r="A39" t="s">
        <v>7</v>
      </c>
      <c r="B39" s="1">
        <v>13</v>
      </c>
      <c r="C39">
        <v>2038360840216.9966</v>
      </c>
      <c r="D39" s="5">
        <v>300</v>
      </c>
      <c r="E39" s="6">
        <f t="shared" si="15"/>
        <v>7.5702602220487965E-3</v>
      </c>
      <c r="H39" s="2"/>
      <c r="N39" s="9"/>
      <c r="O39" s="1">
        <v>5000</v>
      </c>
      <c r="P39" s="1">
        <v>1008</v>
      </c>
      <c r="Q39" s="1" t="s">
        <v>21</v>
      </c>
      <c r="R39" s="1">
        <v>8.5477828979492201E-2</v>
      </c>
      <c r="S39" s="1">
        <v>0.90211212635040305</v>
      </c>
      <c r="T39" s="1">
        <v>6.9158077239990199</v>
      </c>
      <c r="AD39" s="1">
        <v>5000</v>
      </c>
      <c r="AE39" s="1">
        <v>1008</v>
      </c>
      <c r="AF39" s="1" t="s">
        <v>21</v>
      </c>
      <c r="AG39" s="1">
        <v>5.03313541412354E-2</v>
      </c>
      <c r="AH39" s="1">
        <v>0.90211212635040305</v>
      </c>
      <c r="AI39" s="1">
        <v>6.9158077239990199</v>
      </c>
      <c r="AK39" t="s">
        <v>15</v>
      </c>
      <c r="AL39">
        <v>8</v>
      </c>
      <c r="AM39">
        <v>2021997147212.7749</v>
      </c>
      <c r="AN39" s="1">
        <v>1.2011358737945601</v>
      </c>
      <c r="AO39" s="6">
        <f t="shared" si="1"/>
        <v>5.1838144195714574E-4</v>
      </c>
    </row>
    <row r="40" spans="1:41" x14ac:dyDescent="0.2">
      <c r="A40" t="s">
        <v>7</v>
      </c>
      <c r="B40" s="1">
        <v>14</v>
      </c>
      <c r="C40">
        <v>2052470419418.2515</v>
      </c>
      <c r="D40" s="5">
        <v>300</v>
      </c>
      <c r="E40" s="6">
        <f t="shared" si="15"/>
        <v>1.4544684036979701E-2</v>
      </c>
      <c r="H40" s="2"/>
      <c r="N40" s="9"/>
      <c r="O40" s="1">
        <v>5000</v>
      </c>
      <c r="P40" s="1">
        <v>1009</v>
      </c>
      <c r="Q40" s="1" t="s">
        <v>20</v>
      </c>
      <c r="R40" s="1">
        <v>101.081324100494</v>
      </c>
      <c r="S40" s="1">
        <v>0.93886810541152999</v>
      </c>
      <c r="T40" s="1">
        <v>5.6183665990829503</v>
      </c>
      <c r="AD40" s="1">
        <v>5000</v>
      </c>
      <c r="AE40" s="1">
        <v>1009</v>
      </c>
      <c r="AF40" s="1" t="s">
        <v>20</v>
      </c>
      <c r="AG40" s="1">
        <v>118.659159183502</v>
      </c>
      <c r="AH40" s="1">
        <v>0.94028359651565596</v>
      </c>
      <c r="AI40" s="1">
        <v>5.5935688316822096</v>
      </c>
      <c r="AK40" t="s">
        <v>15</v>
      </c>
      <c r="AL40">
        <v>9</v>
      </c>
      <c r="AM40">
        <v>2050876650507.9998</v>
      </c>
      <c r="AN40" s="1">
        <v>0.86495590209960904</v>
      </c>
      <c r="AO40" s="6">
        <f t="shared" si="1"/>
        <v>1.3756877421019999E-2</v>
      </c>
    </row>
    <row r="41" spans="1:41" x14ac:dyDescent="0.2">
      <c r="A41" t="s">
        <v>7</v>
      </c>
      <c r="B41" s="1">
        <v>15</v>
      </c>
      <c r="C41">
        <v>2041376445420.4399</v>
      </c>
      <c r="D41" s="5">
        <v>300</v>
      </c>
      <c r="E41" s="6">
        <f t="shared" si="15"/>
        <v>9.0608864446546662E-3</v>
      </c>
      <c r="H41" s="2"/>
      <c r="N41" s="9"/>
      <c r="O41" s="1">
        <v>5000</v>
      </c>
      <c r="P41" s="1">
        <v>1009</v>
      </c>
      <c r="Q41" s="1" t="s">
        <v>21</v>
      </c>
      <c r="R41" s="1">
        <v>8.3974123001098605E-2</v>
      </c>
      <c r="S41" s="1">
        <v>0.90514004230499301</v>
      </c>
      <c r="T41" s="1">
        <v>6.8015970289707202</v>
      </c>
      <c r="AD41" s="1">
        <v>5000</v>
      </c>
      <c r="AE41" s="1">
        <v>1009</v>
      </c>
      <c r="AF41" s="1" t="s">
        <v>21</v>
      </c>
      <c r="AG41" s="1">
        <v>4.2250156402587898E-2</v>
      </c>
      <c r="AH41" s="1">
        <v>0.90514004230499301</v>
      </c>
      <c r="AI41" s="1">
        <v>6.8015970289707202</v>
      </c>
      <c r="AK41" t="s">
        <v>15</v>
      </c>
      <c r="AL41">
        <v>10</v>
      </c>
      <c r="AM41">
        <v>2075289634141.3904</v>
      </c>
      <c r="AN41" s="1">
        <v>1.16485619544983</v>
      </c>
      <c r="AO41" s="6">
        <f t="shared" si="1"/>
        <v>2.5824316996474861E-2</v>
      </c>
    </row>
    <row r="42" spans="1:41" x14ac:dyDescent="0.2">
      <c r="A42" t="s">
        <v>7</v>
      </c>
      <c r="B42" s="1">
        <v>16</v>
      </c>
      <c r="C42">
        <v>2041365677950.4966</v>
      </c>
      <c r="D42" s="5">
        <v>300</v>
      </c>
      <c r="E42" s="6">
        <f t="shared" si="15"/>
        <v>9.0555640393774894E-3</v>
      </c>
      <c r="H42" s="2"/>
      <c r="N42" s="9"/>
      <c r="O42" s="1">
        <v>5000</v>
      </c>
      <c r="P42" s="1">
        <v>1010</v>
      </c>
      <c r="Q42" s="1" t="s">
        <v>20</v>
      </c>
      <c r="R42" s="1">
        <v>86.498696804046602</v>
      </c>
      <c r="S42" s="1">
        <v>0.93573611974716198</v>
      </c>
      <c r="T42" s="1">
        <v>5.7109043002128601</v>
      </c>
      <c r="AD42" s="1">
        <v>5000</v>
      </c>
      <c r="AE42" s="1">
        <v>1010</v>
      </c>
      <c r="AF42" s="1" t="s">
        <v>20</v>
      </c>
      <c r="AG42" s="1">
        <v>83.636745214462294</v>
      </c>
      <c r="AH42" s="1">
        <v>0.92927044630050704</v>
      </c>
      <c r="AI42" s="1">
        <v>5.9918969869613701</v>
      </c>
    </row>
    <row r="43" spans="1:41" x14ac:dyDescent="0.2">
      <c r="A43" t="s">
        <v>7</v>
      </c>
      <c r="B43" s="1">
        <v>17</v>
      </c>
      <c r="C43">
        <v>2053517229048.1685</v>
      </c>
      <c r="D43" s="5">
        <v>300</v>
      </c>
      <c r="E43" s="6">
        <f t="shared" si="15"/>
        <v>1.5062126400671366E-2</v>
      </c>
      <c r="H43" s="2"/>
      <c r="N43" s="9"/>
      <c r="O43" s="1">
        <v>5000</v>
      </c>
      <c r="P43" s="1">
        <v>1010</v>
      </c>
      <c r="Q43" s="1" t="s">
        <v>21</v>
      </c>
      <c r="R43" s="1">
        <v>6.8600893020629897E-2</v>
      </c>
      <c r="S43" s="1">
        <v>0.911671161651611</v>
      </c>
      <c r="T43" s="1">
        <v>6.7148797214031202</v>
      </c>
      <c r="AD43" s="1">
        <v>5000</v>
      </c>
      <c r="AE43" s="1">
        <v>1010</v>
      </c>
      <c r="AF43" s="1" t="s">
        <v>21</v>
      </c>
      <c r="AG43" s="1">
        <v>4.2116165161132799E-2</v>
      </c>
      <c r="AH43" s="1">
        <v>0.911671161651611</v>
      </c>
      <c r="AI43" s="1">
        <v>6.7148797214031202</v>
      </c>
    </row>
    <row r="44" spans="1:41" x14ac:dyDescent="0.2">
      <c r="A44" t="s">
        <v>7</v>
      </c>
      <c r="B44" s="1">
        <v>18</v>
      </c>
      <c r="C44">
        <v>2042879000199.2476</v>
      </c>
      <c r="D44" s="5">
        <v>300</v>
      </c>
      <c r="E44" s="6">
        <f t="shared" si="15"/>
        <v>9.8036055352156426E-3</v>
      </c>
      <c r="H44" s="2"/>
      <c r="N44" s="9"/>
    </row>
    <row r="45" spans="1:41" x14ac:dyDescent="0.2">
      <c r="A45" t="s">
        <v>7</v>
      </c>
      <c r="B45" s="1">
        <v>19</v>
      </c>
      <c r="C45">
        <v>2066919705268.3816</v>
      </c>
      <c r="D45" s="5">
        <v>300</v>
      </c>
      <c r="E45" s="6">
        <f t="shared" si="15"/>
        <v>2.1687026264516077E-2</v>
      </c>
      <c r="H45" s="2"/>
      <c r="N45" s="9"/>
    </row>
    <row r="46" spans="1:41" x14ac:dyDescent="0.2">
      <c r="A46" t="s">
        <v>7</v>
      </c>
      <c r="B46" s="1">
        <v>20</v>
      </c>
      <c r="C46">
        <v>2042515872317.3018</v>
      </c>
      <c r="D46" s="5">
        <v>300</v>
      </c>
      <c r="E46" s="6">
        <f t="shared" si="15"/>
        <v>9.6241099094720364E-3</v>
      </c>
      <c r="H46" s="2"/>
      <c r="N46" s="9"/>
    </row>
    <row r="47" spans="1:41" x14ac:dyDescent="0.2">
      <c r="A47" t="s">
        <v>8</v>
      </c>
      <c r="B47" s="1">
        <v>11</v>
      </c>
      <c r="C47">
        <v>2038564530924.7615</v>
      </c>
      <c r="D47" s="5">
        <v>300</v>
      </c>
      <c r="E47" s="6">
        <f t="shared" si="15"/>
        <v>7.670945387981261E-3</v>
      </c>
      <c r="H47" s="2"/>
      <c r="N47" s="9"/>
    </row>
    <row r="48" spans="1:41" x14ac:dyDescent="0.2">
      <c r="A48" t="s">
        <v>8</v>
      </c>
      <c r="B48" s="1">
        <v>12</v>
      </c>
      <c r="C48">
        <v>2031562193120.4048</v>
      </c>
      <c r="D48" s="5">
        <v>300</v>
      </c>
      <c r="E48" s="6">
        <f t="shared" si="15"/>
        <v>4.2096606220576411E-3</v>
      </c>
      <c r="H48" s="2"/>
    </row>
    <row r="49" spans="1:8" x14ac:dyDescent="0.2">
      <c r="A49" t="s">
        <v>8</v>
      </c>
      <c r="B49" s="1">
        <v>13</v>
      </c>
      <c r="C49">
        <v>2036330804020.3384</v>
      </c>
      <c r="D49" s="5">
        <v>300</v>
      </c>
      <c r="E49" s="6">
        <f t="shared" si="15"/>
        <v>6.5668048678391181E-3</v>
      </c>
      <c r="H49" s="2"/>
    </row>
    <row r="50" spans="1:8" x14ac:dyDescent="0.2">
      <c r="A50" t="s">
        <v>8</v>
      </c>
      <c r="B50" s="1">
        <v>14</v>
      </c>
      <c r="C50">
        <v>2031749962933.5613</v>
      </c>
      <c r="D50" s="5">
        <v>300</v>
      </c>
      <c r="E50" s="6">
        <f t="shared" si="15"/>
        <v>4.3024760234189599E-3</v>
      </c>
      <c r="H50" s="2"/>
    </row>
    <row r="51" spans="1:8" x14ac:dyDescent="0.2">
      <c r="A51" t="s">
        <v>8</v>
      </c>
      <c r="B51" s="1">
        <v>15</v>
      </c>
      <c r="C51">
        <v>2032720696278.7197</v>
      </c>
      <c r="D51" s="5">
        <v>300</v>
      </c>
      <c r="E51" s="6">
        <f t="shared" si="15"/>
        <v>4.7823135624306453E-3</v>
      </c>
      <c r="H51" s="2"/>
    </row>
    <row r="52" spans="1:8" x14ac:dyDescent="0.2">
      <c r="A52" t="s">
        <v>8</v>
      </c>
      <c r="B52" s="1">
        <v>16</v>
      </c>
      <c r="C52">
        <v>2035064477193.3943</v>
      </c>
      <c r="D52" s="5">
        <v>300</v>
      </c>
      <c r="E52" s="6">
        <f t="shared" si="15"/>
        <v>5.9408542385999928E-3</v>
      </c>
      <c r="H52" s="2"/>
    </row>
    <row r="53" spans="1:8" x14ac:dyDescent="0.2">
      <c r="A53" t="s">
        <v>8</v>
      </c>
      <c r="B53" s="1">
        <v>17</v>
      </c>
      <c r="C53">
        <v>2036259194862.3416</v>
      </c>
      <c r="D53" s="5">
        <v>300</v>
      </c>
      <c r="E53" s="6">
        <f t="shared" si="15"/>
        <v>6.5314081625386655E-3</v>
      </c>
      <c r="H53" s="2"/>
    </row>
    <row r="54" spans="1:8" x14ac:dyDescent="0.2">
      <c r="A54" t="s">
        <v>8</v>
      </c>
      <c r="B54" s="1">
        <v>18</v>
      </c>
      <c r="C54">
        <v>2035535104691.1116</v>
      </c>
      <c r="D54" s="5">
        <v>300</v>
      </c>
      <c r="E54" s="6">
        <f t="shared" si="15"/>
        <v>6.1734873725313617E-3</v>
      </c>
      <c r="H54" s="2"/>
    </row>
    <row r="55" spans="1:8" x14ac:dyDescent="0.2">
      <c r="A55" t="s">
        <v>8</v>
      </c>
      <c r="B55" s="1">
        <v>19</v>
      </c>
      <c r="C55">
        <v>2035617205890.1895</v>
      </c>
      <c r="D55" s="5">
        <v>300</v>
      </c>
      <c r="E55" s="6">
        <f t="shared" si="15"/>
        <v>6.2140703374742303E-3</v>
      </c>
      <c r="H55" s="2"/>
    </row>
    <row r="56" spans="1:8" x14ac:dyDescent="0.2">
      <c r="A56" t="s">
        <v>8</v>
      </c>
      <c r="B56" s="1">
        <v>20</v>
      </c>
      <c r="C56">
        <v>2033780978293.064</v>
      </c>
      <c r="D56" s="5">
        <v>300</v>
      </c>
      <c r="E56" s="6">
        <f t="shared" si="15"/>
        <v>5.3064153819043034E-3</v>
      </c>
      <c r="H56" s="2"/>
    </row>
    <row r="57" spans="1:8" x14ac:dyDescent="0.2">
      <c r="A57" t="s">
        <v>12</v>
      </c>
      <c r="B57" s="1">
        <v>1</v>
      </c>
      <c r="C57" s="6">
        <v>2167231665692.9502</v>
      </c>
      <c r="D57" s="4">
        <v>0.77770423889160201</v>
      </c>
      <c r="E57" s="6">
        <f t="shared" si="15"/>
        <v>7.1271646452572057E-2</v>
      </c>
    </row>
    <row r="58" spans="1:8" x14ac:dyDescent="0.2">
      <c r="A58" t="s">
        <v>12</v>
      </c>
      <c r="B58" s="1">
        <v>2</v>
      </c>
      <c r="C58" s="6">
        <v>2124678782572.7139</v>
      </c>
      <c r="D58" s="4">
        <v>0.857777118682861</v>
      </c>
      <c r="E58" s="6">
        <f t="shared" ref="E58:E64" si="16">ABS(C58-$J$2)/$J$2</f>
        <v>5.023757894463729E-2</v>
      </c>
    </row>
    <row r="59" spans="1:8" x14ac:dyDescent="0.2">
      <c r="A59" t="s">
        <v>12</v>
      </c>
      <c r="B59" s="1">
        <v>3</v>
      </c>
      <c r="C59" s="6">
        <v>2101223012477.9536</v>
      </c>
      <c r="D59" s="4">
        <v>1.1114349365234399</v>
      </c>
      <c r="E59" s="6">
        <f t="shared" si="16"/>
        <v>3.864329401147E-2</v>
      </c>
    </row>
    <row r="60" spans="1:8" x14ac:dyDescent="0.2">
      <c r="A60" t="s">
        <v>12</v>
      </c>
      <c r="B60" s="1">
        <v>4</v>
      </c>
      <c r="C60" s="6">
        <v>2184773346652.9204</v>
      </c>
      <c r="D60" s="4">
        <v>2.1907801628112802</v>
      </c>
      <c r="E60" s="6">
        <f t="shared" si="16"/>
        <v>7.9942572473544762E-2</v>
      </c>
    </row>
    <row r="61" spans="1:8" x14ac:dyDescent="0.2">
      <c r="A61" t="s">
        <v>12</v>
      </c>
      <c r="B61" s="1">
        <v>5</v>
      </c>
      <c r="C61" s="6">
        <v>2113009522087.6816</v>
      </c>
      <c r="D61" s="4">
        <v>1.11992383003235</v>
      </c>
      <c r="E61" s="6">
        <f t="shared" si="16"/>
        <v>4.4469414843598579E-2</v>
      </c>
    </row>
    <row r="62" spans="1:8" x14ac:dyDescent="0.2">
      <c r="A62" t="s">
        <v>12</v>
      </c>
      <c r="B62" s="1">
        <v>6</v>
      </c>
      <c r="C62" s="6">
        <v>2152840861514.9424</v>
      </c>
      <c r="D62" s="4">
        <v>1.1410868167877199</v>
      </c>
      <c r="E62" s="6">
        <f t="shared" si="16"/>
        <v>6.415821195934647E-2</v>
      </c>
    </row>
    <row r="63" spans="1:8" x14ac:dyDescent="0.2">
      <c r="A63" t="s">
        <v>12</v>
      </c>
      <c r="B63" s="1">
        <v>7</v>
      </c>
      <c r="C63" s="6">
        <v>2080698694695.1704</v>
      </c>
      <c r="D63" s="4">
        <v>1.10456895828247</v>
      </c>
      <c r="E63" s="6">
        <f t="shared" si="16"/>
        <v>2.8498038175865638E-2</v>
      </c>
    </row>
    <row r="64" spans="1:8" x14ac:dyDescent="0.2">
      <c r="A64" t="s">
        <v>12</v>
      </c>
      <c r="B64" s="1">
        <v>8</v>
      </c>
      <c r="C64" s="6">
        <v>2035074472320.6631</v>
      </c>
      <c r="D64" s="4">
        <v>1.0544290542602499</v>
      </c>
      <c r="E64" s="6">
        <f t="shared" si="16"/>
        <v>5.9457948716736273E-3</v>
      </c>
    </row>
    <row r="65" spans="1:13" x14ac:dyDescent="0.2">
      <c r="G65" t="s">
        <v>29</v>
      </c>
      <c r="I65" t="s">
        <v>12</v>
      </c>
      <c r="J65" s="1">
        <v>9</v>
      </c>
      <c r="K65" s="6">
        <v>2241223160635.7104</v>
      </c>
      <c r="L65" s="4">
        <v>1.0758538246154801</v>
      </c>
      <c r="M65" s="6">
        <f>ABS(K65-$J$2)/$J$2</f>
        <v>0.10784595083616631</v>
      </c>
    </row>
    <row r="66" spans="1:13" x14ac:dyDescent="0.2">
      <c r="A66" t="s">
        <v>12</v>
      </c>
      <c r="B66" s="1">
        <v>10</v>
      </c>
      <c r="C66" s="6">
        <v>2246024483054.0854</v>
      </c>
      <c r="D66" s="4">
        <v>1.4820809364318801</v>
      </c>
      <c r="E66" s="6">
        <f t="shared" ref="E66:E80" si="17">ABS(C66-$J$2)/$J$2</f>
        <v>0.11021926452187127</v>
      </c>
    </row>
    <row r="67" spans="1:13" x14ac:dyDescent="0.2">
      <c r="A67" t="s">
        <v>14</v>
      </c>
      <c r="B67" s="1">
        <v>1</v>
      </c>
      <c r="C67" s="6">
        <v>2096674959395.9941</v>
      </c>
      <c r="D67" s="4">
        <v>1.1036736965179399</v>
      </c>
      <c r="E67" s="6">
        <f t="shared" si="17"/>
        <v>3.6395172414507924E-2</v>
      </c>
    </row>
    <row r="68" spans="1:13" x14ac:dyDescent="0.2">
      <c r="A68" t="s">
        <v>14</v>
      </c>
      <c r="B68" s="1">
        <v>2</v>
      </c>
      <c r="C68" s="6">
        <v>2077247505419.4307</v>
      </c>
      <c r="D68" s="4">
        <v>1.32413601875305</v>
      </c>
      <c r="E68" s="6">
        <f t="shared" si="17"/>
        <v>2.6792100930592394E-2</v>
      </c>
    </row>
    <row r="69" spans="1:13" x14ac:dyDescent="0.2">
      <c r="A69" t="s">
        <v>14</v>
      </c>
      <c r="B69" s="1">
        <v>3</v>
      </c>
      <c r="C69" s="6">
        <v>2090243121982.9297</v>
      </c>
      <c r="D69" s="4">
        <v>1.34860014915466</v>
      </c>
      <c r="E69" s="6">
        <f t="shared" si="17"/>
        <v>3.3215888370129711E-2</v>
      </c>
    </row>
    <row r="70" spans="1:13" x14ac:dyDescent="0.2">
      <c r="A70" t="s">
        <v>14</v>
      </c>
      <c r="B70" s="1">
        <v>4</v>
      </c>
      <c r="C70" s="6">
        <v>2105684166713.8984</v>
      </c>
      <c r="D70" s="4">
        <v>1.2819299697876001</v>
      </c>
      <c r="E70" s="6">
        <f t="shared" si="17"/>
        <v>4.0848461146609387E-2</v>
      </c>
    </row>
    <row r="71" spans="1:13" x14ac:dyDescent="0.2">
      <c r="A71" t="s">
        <v>14</v>
      </c>
      <c r="B71" s="1">
        <v>5</v>
      </c>
      <c r="C71" s="6">
        <v>2008255226617.666</v>
      </c>
      <c r="D71" s="4">
        <v>1.38596391677856</v>
      </c>
      <c r="E71" s="6">
        <f t="shared" si="17"/>
        <v>7.3110700752859739E-3</v>
      </c>
    </row>
    <row r="72" spans="1:13" x14ac:dyDescent="0.2">
      <c r="A72" t="s">
        <v>14</v>
      </c>
      <c r="B72" s="1">
        <v>6</v>
      </c>
      <c r="C72" s="6">
        <v>2077029764381.5994</v>
      </c>
      <c r="D72" s="4">
        <v>1.0644862651825</v>
      </c>
      <c r="E72" s="6">
        <f t="shared" si="17"/>
        <v>2.6684470627939334E-2</v>
      </c>
    </row>
    <row r="73" spans="1:13" x14ac:dyDescent="0.2">
      <c r="A73" t="s">
        <v>14</v>
      </c>
      <c r="B73" s="1">
        <v>7</v>
      </c>
      <c r="C73" s="6">
        <v>2072010580601.9365</v>
      </c>
      <c r="D73" s="4">
        <v>1.1643760204315201</v>
      </c>
      <c r="E73" s="6">
        <f t="shared" si="17"/>
        <v>2.4203467163195179E-2</v>
      </c>
    </row>
    <row r="74" spans="1:13" x14ac:dyDescent="0.2">
      <c r="A74" t="s">
        <v>14</v>
      </c>
      <c r="B74" s="1">
        <v>8</v>
      </c>
      <c r="C74" s="6">
        <v>2063913481961.8672</v>
      </c>
      <c r="D74" s="4">
        <v>1.06456923484802</v>
      </c>
      <c r="E74" s="6">
        <f t="shared" si="17"/>
        <v>2.0201037552670605E-2</v>
      </c>
    </row>
    <row r="75" spans="1:13" x14ac:dyDescent="0.2">
      <c r="A75" t="s">
        <v>14</v>
      </c>
      <c r="B75" s="1">
        <v>9</v>
      </c>
      <c r="C75" s="6">
        <v>2105773659463.9282</v>
      </c>
      <c r="D75" s="4">
        <v>1.04149794578552</v>
      </c>
      <c r="E75" s="6">
        <f t="shared" si="17"/>
        <v>4.0892697785999445E-2</v>
      </c>
    </row>
    <row r="76" spans="1:13" x14ac:dyDescent="0.2">
      <c r="A76" t="s">
        <v>14</v>
      </c>
      <c r="B76" s="1">
        <v>10</v>
      </c>
      <c r="C76" s="6">
        <v>2093604401911.1594</v>
      </c>
      <c r="D76" s="4">
        <v>1.3794908523559599</v>
      </c>
      <c r="E76" s="6">
        <f t="shared" si="17"/>
        <v>3.487738305014184E-2</v>
      </c>
    </row>
    <row r="77" spans="1:13" x14ac:dyDescent="0.2">
      <c r="A77" t="s">
        <v>13</v>
      </c>
      <c r="B77" s="1">
        <v>1</v>
      </c>
      <c r="C77" s="6">
        <v>2082003697841.6643</v>
      </c>
      <c r="D77" s="4">
        <v>1.2735900878906301</v>
      </c>
      <c r="E77" s="6">
        <f t="shared" si="17"/>
        <v>2.9143106671080388E-2</v>
      </c>
    </row>
    <row r="78" spans="1:13" x14ac:dyDescent="0.2">
      <c r="A78" t="s">
        <v>13</v>
      </c>
      <c r="B78" s="1">
        <v>2</v>
      </c>
      <c r="C78" s="6">
        <v>2104331005541.5093</v>
      </c>
      <c r="D78" s="4">
        <v>1.7437717914581301</v>
      </c>
      <c r="E78" s="6">
        <f t="shared" si="17"/>
        <v>4.0179587938447982E-2</v>
      </c>
    </row>
    <row r="79" spans="1:13" x14ac:dyDescent="0.2">
      <c r="A79" t="s">
        <v>13</v>
      </c>
      <c r="B79" s="1">
        <v>3</v>
      </c>
      <c r="C79" s="6">
        <v>2061300463827.4619</v>
      </c>
      <c r="D79" s="4">
        <v>1.5010769367218</v>
      </c>
      <c r="E79" s="6">
        <f t="shared" si="17"/>
        <v>1.8909411796473593E-2</v>
      </c>
    </row>
    <row r="80" spans="1:13" x14ac:dyDescent="0.2">
      <c r="A80" t="s">
        <v>13</v>
      </c>
      <c r="B80" s="1">
        <v>4</v>
      </c>
      <c r="C80" s="6">
        <v>2071781874134.6838</v>
      </c>
      <c r="D80" s="4">
        <v>1.00947213172913</v>
      </c>
      <c r="E80" s="6">
        <f t="shared" si="17"/>
        <v>2.4090416603069761E-2</v>
      </c>
    </row>
    <row r="81" spans="1:13" x14ac:dyDescent="0.2">
      <c r="G81" t="s">
        <v>29</v>
      </c>
      <c r="I81" t="s">
        <v>13</v>
      </c>
      <c r="J81" s="1">
        <v>5</v>
      </c>
      <c r="K81" s="6">
        <v>2126277119307.6729</v>
      </c>
      <c r="L81" s="4">
        <v>2.6852948665618901</v>
      </c>
      <c r="M81" s="6">
        <f>ABS(K81-$J$2)/$J$2</f>
        <v>5.1027643455390764E-2</v>
      </c>
    </row>
    <row r="82" spans="1:13" x14ac:dyDescent="0.2">
      <c r="A82" t="s">
        <v>13</v>
      </c>
      <c r="B82" s="1">
        <v>6</v>
      </c>
      <c r="C82" s="6">
        <v>2066558154470.5132</v>
      </c>
      <c r="D82" s="4">
        <v>2.3259449005127002</v>
      </c>
      <c r="E82" s="6">
        <f t="shared" ref="E82:E92" si="18">ABS(C82-$J$2)/$J$2</f>
        <v>2.1508310198005996E-2</v>
      </c>
    </row>
    <row r="83" spans="1:13" x14ac:dyDescent="0.2">
      <c r="A83" t="s">
        <v>13</v>
      </c>
      <c r="B83" s="1">
        <v>7</v>
      </c>
      <c r="C83" s="6">
        <v>2029680658731.3167</v>
      </c>
      <c r="D83" s="4">
        <v>1.19663381576538</v>
      </c>
      <c r="E83" s="6">
        <f t="shared" si="18"/>
        <v>3.2796103303593138E-3</v>
      </c>
    </row>
    <row r="84" spans="1:13" x14ac:dyDescent="0.2">
      <c r="A84" t="s">
        <v>13</v>
      </c>
      <c r="B84" s="1">
        <v>8</v>
      </c>
      <c r="C84" s="6">
        <v>2050963453514.5015</v>
      </c>
      <c r="D84" s="4">
        <v>2.04815006256104</v>
      </c>
      <c r="E84" s="6">
        <f t="shared" si="18"/>
        <v>1.379978450897194E-2</v>
      </c>
    </row>
    <row r="85" spans="1:13" x14ac:dyDescent="0.2">
      <c r="A85" t="s">
        <v>13</v>
      </c>
      <c r="B85" s="1">
        <v>9</v>
      </c>
      <c r="C85" s="6">
        <v>2035633375363.1968</v>
      </c>
      <c r="D85" s="4">
        <v>2.3746440410614</v>
      </c>
      <c r="E85" s="6">
        <f t="shared" si="18"/>
        <v>6.2220629753841636E-3</v>
      </c>
    </row>
    <row r="86" spans="1:13" x14ac:dyDescent="0.2">
      <c r="A86" t="s">
        <v>13</v>
      </c>
      <c r="B86" s="1">
        <v>10</v>
      </c>
      <c r="C86" s="6">
        <v>2062885807949.311</v>
      </c>
      <c r="D86" s="4">
        <v>1.62729120254517</v>
      </c>
      <c r="E86" s="6">
        <f t="shared" si="18"/>
        <v>1.9693054004407184E-2</v>
      </c>
    </row>
    <row r="87" spans="1:13" x14ac:dyDescent="0.2">
      <c r="A87" t="s">
        <v>15</v>
      </c>
      <c r="B87" s="1">
        <v>1</v>
      </c>
      <c r="C87" s="6">
        <v>2060644942164.2354</v>
      </c>
      <c r="D87" s="4">
        <v>1.0868499279022199</v>
      </c>
      <c r="E87" s="6">
        <f t="shared" si="18"/>
        <v>1.8585384705800057E-2</v>
      </c>
    </row>
    <row r="88" spans="1:13" x14ac:dyDescent="0.2">
      <c r="A88" t="s">
        <v>15</v>
      </c>
      <c r="B88" s="1">
        <v>2</v>
      </c>
      <c r="C88" s="6">
        <v>2031462764327.4199</v>
      </c>
      <c r="D88" s="4">
        <v>1.1876480579376201</v>
      </c>
      <c r="E88" s="6">
        <f t="shared" si="18"/>
        <v>4.1605125552165133E-3</v>
      </c>
    </row>
    <row r="89" spans="1:13" x14ac:dyDescent="0.2">
      <c r="A89" t="s">
        <v>15</v>
      </c>
      <c r="B89" s="1">
        <v>3</v>
      </c>
      <c r="C89" s="6">
        <v>2052328441389.239</v>
      </c>
      <c r="D89" s="4">
        <v>2.1683382987976101</v>
      </c>
      <c r="E89" s="6">
        <f t="shared" si="18"/>
        <v>1.4474503705403737E-2</v>
      </c>
    </row>
    <row r="90" spans="1:13" x14ac:dyDescent="0.2">
      <c r="A90" t="s">
        <v>15</v>
      </c>
      <c r="B90" s="1">
        <v>4</v>
      </c>
      <c r="C90" s="6">
        <v>2054497220056.2979</v>
      </c>
      <c r="D90" s="4">
        <v>1.2115681171417201</v>
      </c>
      <c r="E90" s="6">
        <f t="shared" si="18"/>
        <v>1.5546540041080139E-2</v>
      </c>
    </row>
    <row r="91" spans="1:13" x14ac:dyDescent="0.2">
      <c r="A91" t="s">
        <v>15</v>
      </c>
      <c r="B91" s="1">
        <v>5</v>
      </c>
      <c r="C91" s="6">
        <v>2067430162612.9417</v>
      </c>
      <c r="D91" s="4">
        <v>1.5760869979858401</v>
      </c>
      <c r="E91" s="6">
        <f t="shared" si="18"/>
        <v>2.1939347457772457E-2</v>
      </c>
    </row>
    <row r="92" spans="1:13" x14ac:dyDescent="0.2">
      <c r="A92" t="s">
        <v>15</v>
      </c>
      <c r="B92" s="1">
        <v>6</v>
      </c>
      <c r="C92" s="6">
        <v>2038122928796.5479</v>
      </c>
      <c r="D92" s="4">
        <v>2.1454620361328098</v>
      </c>
      <c r="E92" s="6">
        <f t="shared" si="18"/>
        <v>7.4526596151877431E-3</v>
      </c>
    </row>
    <row r="93" spans="1:13" x14ac:dyDescent="0.2">
      <c r="G93" t="s">
        <v>29</v>
      </c>
      <c r="I93" t="s">
        <v>15</v>
      </c>
      <c r="J93" s="1">
        <v>7</v>
      </c>
      <c r="K93" s="6">
        <v>2091463144197.27</v>
      </c>
      <c r="L93" s="4">
        <v>1.50823497772217</v>
      </c>
      <c r="M93" s="6">
        <f>ABS(K93-$J$2)/$J$2</f>
        <v>3.3818950436338119E-2</v>
      </c>
    </row>
    <row r="94" spans="1:13" x14ac:dyDescent="0.2">
      <c r="A94" t="s">
        <v>15</v>
      </c>
      <c r="B94" s="1">
        <v>8</v>
      </c>
      <c r="C94" s="6">
        <v>2061142015318.0791</v>
      </c>
      <c r="D94" s="4">
        <v>1.51135277748108</v>
      </c>
      <c r="E94" s="6">
        <f>ABS(C94-$J$2)/$J$2</f>
        <v>1.8831090037793399E-2</v>
      </c>
    </row>
    <row r="95" spans="1:13" x14ac:dyDescent="0.2">
      <c r="A95" t="s">
        <v>15</v>
      </c>
      <c r="B95" s="1">
        <v>9</v>
      </c>
      <c r="C95" s="6">
        <v>2052372641567.6365</v>
      </c>
      <c r="D95" s="4">
        <v>1.5690717697143599</v>
      </c>
      <c r="E95" s="6">
        <f>ABS(C95-$J$2)/$J$2</f>
        <v>1.4496352037833952E-2</v>
      </c>
    </row>
    <row r="96" spans="1:13" x14ac:dyDescent="0.2">
      <c r="A96" t="s">
        <v>15</v>
      </c>
      <c r="B96" s="1">
        <v>10</v>
      </c>
      <c r="C96" s="6">
        <v>2081807002497.9932</v>
      </c>
      <c r="D96" s="4">
        <v>1.1831800937652599</v>
      </c>
      <c r="E96" s="6">
        <f>ABS(C96-$J$2)/$J$2</f>
        <v>2.9045879342779624E-2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Kwon, Taehyeon</dc:creator>
  <cp:lastModifiedBy>Kwon, Taehyeon</cp:lastModifiedBy>
  <dcterms:created xsi:type="dcterms:W3CDTF">2025-09-08T15:50:19Z</dcterms:created>
  <dcterms:modified xsi:type="dcterms:W3CDTF">2025-09-29T04:06:06Z</dcterms:modified>
</cp:coreProperties>
</file>